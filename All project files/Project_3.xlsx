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posi howlader\Documents\All project files\"/>
    </mc:Choice>
  </mc:AlternateContent>
  <xr:revisionPtr revIDLastSave="0" documentId="13_ncr:1_{20F4A9F5-AC73-4407-9337-EAB61DEA3DA3}" xr6:coauthVersionLast="47" xr6:coauthVersionMax="47" xr10:uidLastSave="{00000000-0000-0000-0000-000000000000}"/>
  <bookViews>
    <workbookView xWindow="-108" yWindow="-108" windowWidth="23256" windowHeight="12456" activeTab="4" xr2:uid="{1A717C22-874E-42A6-8109-C91D1D44D935}"/>
  </bookViews>
  <sheets>
    <sheet name="Main data " sheetId="1" r:id="rId1"/>
    <sheet name="Unclear data" sheetId="2" r:id="rId2"/>
    <sheet name="Clear Data using power queries" sheetId="5" r:id="rId3"/>
    <sheet name="Pivot tables" sheetId="3" r:id="rId4"/>
    <sheet name="All chats" sheetId="4" r:id="rId5"/>
  </sheets>
  <definedNames>
    <definedName name="ExternalData_1" localSheetId="2" hidden="1">'Clear Data using power queries'!$A$1:$N$36</definedName>
  </definedNames>
  <calcPr calcId="191029"/>
  <pivotCaches>
    <pivotCache cacheId="2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6" i="2" l="1"/>
  <c r="K45" i="2"/>
  <c r="K44" i="2"/>
  <c r="K43" i="2"/>
  <c r="K42" i="2"/>
  <c r="K41" i="2"/>
  <c r="K40" i="2"/>
  <c r="K39" i="2"/>
  <c r="K38" i="2"/>
  <c r="K37" i="2"/>
  <c r="K35" i="2"/>
  <c r="K34" i="2"/>
  <c r="K33" i="2"/>
  <c r="K32" i="2"/>
  <c r="K31" i="2"/>
  <c r="K30" i="2"/>
  <c r="K29" i="2"/>
  <c r="K27" i="2"/>
  <c r="K26" i="2"/>
  <c r="K25" i="2"/>
  <c r="K24" i="2"/>
  <c r="K23" i="2"/>
  <c r="K22" i="2"/>
  <c r="K21" i="2"/>
  <c r="K19" i="2"/>
  <c r="K18" i="2"/>
  <c r="K17" i="2"/>
  <c r="K16" i="2"/>
  <c r="K15" i="2"/>
  <c r="K14" i="2"/>
  <c r="K12" i="2"/>
  <c r="K11" i="2"/>
  <c r="K10" i="2"/>
  <c r="K9" i="2"/>
  <c r="K7" i="2"/>
  <c r="K6" i="2"/>
  <c r="K5" i="2"/>
  <c r="K3" i="2"/>
  <c r="K2" i="2"/>
  <c r="N36" i="1"/>
  <c r="M36" i="1"/>
  <c r="L36" i="1"/>
  <c r="K36" i="1"/>
  <c r="M35" i="1"/>
  <c r="K35" i="1"/>
  <c r="L35" i="1" s="1"/>
  <c r="N35" i="1" s="1"/>
  <c r="K34" i="1"/>
  <c r="L34" i="1" s="1"/>
  <c r="N34" i="1" s="1"/>
  <c r="K33" i="1"/>
  <c r="L32" i="1"/>
  <c r="N32" i="1" s="1"/>
  <c r="K32" i="1"/>
  <c r="K31" i="1"/>
  <c r="L31" i="1" s="1"/>
  <c r="N31" i="1" s="1"/>
  <c r="K30" i="1"/>
  <c r="L30" i="1" s="1"/>
  <c r="N30" i="1" s="1"/>
  <c r="K29" i="1"/>
  <c r="L28" i="1"/>
  <c r="N28" i="1" s="1"/>
  <c r="K28" i="1"/>
  <c r="K27" i="1"/>
  <c r="L27" i="1" s="1"/>
  <c r="N27" i="1" s="1"/>
  <c r="K26" i="1"/>
  <c r="L26" i="1" s="1"/>
  <c r="N26" i="1" s="1"/>
  <c r="K25" i="1"/>
  <c r="L24" i="1"/>
  <c r="N24" i="1" s="1"/>
  <c r="K24" i="1"/>
  <c r="K23" i="1"/>
  <c r="L23" i="1" s="1"/>
  <c r="N23" i="1" s="1"/>
  <c r="K22" i="1"/>
  <c r="L22" i="1" s="1"/>
  <c r="N22" i="1" s="1"/>
  <c r="K21" i="1"/>
  <c r="L20" i="1"/>
  <c r="N20" i="1" s="1"/>
  <c r="K20" i="1"/>
  <c r="K19" i="1"/>
  <c r="L19" i="1" s="1"/>
  <c r="N19" i="1" s="1"/>
  <c r="K18" i="1"/>
  <c r="K17" i="1"/>
  <c r="L17" i="1" s="1"/>
  <c r="L16" i="1"/>
  <c r="N16" i="1" s="1"/>
  <c r="K16" i="1"/>
  <c r="N15" i="1"/>
  <c r="K15" i="1"/>
  <c r="L15" i="1" s="1"/>
  <c r="K14" i="1"/>
  <c r="K13" i="1"/>
  <c r="L13" i="1" s="1"/>
  <c r="L12" i="1"/>
  <c r="N12" i="1" s="1"/>
  <c r="K12" i="1"/>
  <c r="N11" i="1"/>
  <c r="K11" i="1"/>
  <c r="L11" i="1" s="1"/>
  <c r="K10" i="1"/>
  <c r="K9" i="1"/>
  <c r="L9" i="1" s="1"/>
  <c r="L8" i="1"/>
  <c r="N8" i="1" s="1"/>
  <c r="K8" i="1"/>
  <c r="N7" i="1"/>
  <c r="K7" i="1"/>
  <c r="L7" i="1" s="1"/>
  <c r="K6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K5" i="1"/>
  <c r="L4" i="1"/>
  <c r="N4" i="1" s="1"/>
  <c r="K4" i="1"/>
  <c r="N3" i="1"/>
  <c r="K3" i="1"/>
  <c r="L3" i="1" s="1"/>
  <c r="A3" i="1"/>
  <c r="A4" i="1" s="1"/>
  <c r="A5" i="1" s="1"/>
  <c r="N2" i="1"/>
  <c r="K2" i="1"/>
  <c r="L2" i="1" s="1"/>
  <c r="N30" i="2" l="1"/>
  <c r="N24" i="2"/>
  <c r="N42" i="2"/>
  <c r="N46" i="2"/>
  <c r="N9" i="2"/>
  <c r="N14" i="2"/>
  <c r="N27" i="2"/>
  <c r="N32" i="2"/>
  <c r="N45" i="2"/>
  <c r="L2" i="2"/>
  <c r="M2" i="2" s="1"/>
  <c r="L5" i="2"/>
  <c r="N5" i="2" s="1"/>
  <c r="L7" i="2"/>
  <c r="N7" i="2" s="1"/>
  <c r="L10" i="2"/>
  <c r="M10" i="2" s="1"/>
  <c r="L12" i="2"/>
  <c r="N12" i="2" s="1"/>
  <c r="L15" i="2"/>
  <c r="N15" i="2" s="1"/>
  <c r="L17" i="2"/>
  <c r="N17" i="2" s="1"/>
  <c r="L19" i="2"/>
  <c r="M19" i="2" s="1"/>
  <c r="L22" i="2"/>
  <c r="N22" i="2" s="1"/>
  <c r="L24" i="2"/>
  <c r="L26" i="2"/>
  <c r="N26" i="2" s="1"/>
  <c r="L29" i="2"/>
  <c r="M29" i="2" s="1"/>
  <c r="L31" i="2"/>
  <c r="N31" i="2" s="1"/>
  <c r="L33" i="2"/>
  <c r="N33" i="2" s="1"/>
  <c r="L35" i="2"/>
  <c r="N35" i="2" s="1"/>
  <c r="L38" i="2"/>
  <c r="N38" i="2" s="1"/>
  <c r="L40" i="2"/>
  <c r="N40" i="2" s="1"/>
  <c r="L42" i="2"/>
  <c r="L44" i="2"/>
  <c r="N44" i="2" s="1"/>
  <c r="L46" i="2"/>
  <c r="M46" i="2" s="1"/>
  <c r="M5" i="2"/>
  <c r="M7" i="2"/>
  <c r="M11" i="2"/>
  <c r="M12" i="2"/>
  <c r="M15" i="2"/>
  <c r="M17" i="2"/>
  <c r="M21" i="2"/>
  <c r="M22" i="2"/>
  <c r="M24" i="2"/>
  <c r="M26" i="2"/>
  <c r="M30" i="2"/>
  <c r="M31" i="2"/>
  <c r="M33" i="2"/>
  <c r="M35" i="2"/>
  <c r="M39" i="2"/>
  <c r="M40" i="2"/>
  <c r="M42" i="2"/>
  <c r="M44" i="2"/>
  <c r="L3" i="2"/>
  <c r="M3" i="2" s="1"/>
  <c r="L6" i="2"/>
  <c r="M6" i="2" s="1"/>
  <c r="L9" i="2"/>
  <c r="M9" i="2" s="1"/>
  <c r="L11" i="2"/>
  <c r="N11" i="2" s="1"/>
  <c r="L14" i="2"/>
  <c r="M14" i="2" s="1"/>
  <c r="L16" i="2"/>
  <c r="N16" i="2" s="1"/>
  <c r="L18" i="2"/>
  <c r="N18" i="2" s="1"/>
  <c r="L21" i="2"/>
  <c r="N21" i="2" s="1"/>
  <c r="L23" i="2"/>
  <c r="M23" i="2" s="1"/>
  <c r="L25" i="2"/>
  <c r="N25" i="2" s="1"/>
  <c r="L27" i="2"/>
  <c r="M27" i="2" s="1"/>
  <c r="L30" i="2"/>
  <c r="L32" i="2"/>
  <c r="M32" i="2" s="1"/>
  <c r="L34" i="2"/>
  <c r="N34" i="2" s="1"/>
  <c r="L37" i="2"/>
  <c r="N37" i="2" s="1"/>
  <c r="L39" i="2"/>
  <c r="N39" i="2" s="1"/>
  <c r="L41" i="2"/>
  <c r="M41" i="2" s="1"/>
  <c r="L43" i="2"/>
  <c r="M43" i="2" s="1"/>
  <c r="L45" i="2"/>
  <c r="M45" i="2" s="1"/>
  <c r="L5" i="1"/>
  <c r="N5" i="1" s="1"/>
  <c r="N9" i="1"/>
  <c r="N13" i="1"/>
  <c r="N17" i="1"/>
  <c r="L21" i="1"/>
  <c r="N21" i="1" s="1"/>
  <c r="M20" i="1"/>
  <c r="N25" i="1"/>
  <c r="L25" i="1"/>
  <c r="M24" i="1"/>
  <c r="N29" i="1"/>
  <c r="L29" i="1"/>
  <c r="M28" i="1" s="1"/>
  <c r="L33" i="1"/>
  <c r="M32" i="1" s="1"/>
  <c r="M3" i="1"/>
  <c r="M4" i="1"/>
  <c r="L6" i="1"/>
  <c r="N6" i="1" s="1"/>
  <c r="M7" i="1"/>
  <c r="M8" i="1"/>
  <c r="L10" i="1"/>
  <c r="N10" i="1" s="1"/>
  <c r="M11" i="1"/>
  <c r="M12" i="1"/>
  <c r="L14" i="1"/>
  <c r="N14" i="1" s="1"/>
  <c r="M15" i="1"/>
  <c r="M16" i="1"/>
  <c r="L18" i="1"/>
  <c r="N18" i="1" s="1"/>
  <c r="M19" i="1"/>
  <c r="M23" i="1"/>
  <c r="M27" i="1"/>
  <c r="M31" i="1"/>
  <c r="M21" i="1"/>
  <c r="M25" i="1"/>
  <c r="M29" i="1"/>
  <c r="M33" i="1"/>
  <c r="M2" i="1"/>
  <c r="M6" i="1"/>
  <c r="M10" i="1"/>
  <c r="M14" i="1"/>
  <c r="M18" i="1"/>
  <c r="M22" i="1"/>
  <c r="M26" i="1"/>
  <c r="M30" i="1"/>
  <c r="M34" i="1"/>
  <c r="M25" i="2" l="1"/>
  <c r="N19" i="2"/>
  <c r="N43" i="2"/>
  <c r="N29" i="2"/>
  <c r="N2" i="2"/>
  <c r="N6" i="2"/>
  <c r="M38" i="2"/>
  <c r="N41" i="2"/>
  <c r="N23" i="2"/>
  <c r="N3" i="2"/>
  <c r="N10" i="2"/>
  <c r="M34" i="2"/>
  <c r="M16" i="2"/>
  <c r="M37" i="2"/>
  <c r="M18" i="2"/>
  <c r="N33" i="1"/>
  <c r="M17" i="1"/>
  <c r="M13" i="1"/>
  <c r="M9" i="1"/>
  <c r="M5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ECE073-32AE-440D-BABE-03F2756E75CB}" keepAlive="1" name="Query - Unclear data" description="Connection to the 'Unclear data' query in the workbook." type="5" refreshedVersion="8" background="1" saveData="1">
    <dbPr connection="Provider=Microsoft.Mashup.OleDb.1;Data Source=$Workbook$;Location=&quot;Unclear data&quot;;Extended Properties=&quot;&quot;" command="SELECT * FROM [Unclear data]"/>
  </connection>
</connections>
</file>

<file path=xl/sharedStrings.xml><?xml version="1.0" encoding="utf-8"?>
<sst xmlns="http://schemas.openxmlformats.org/spreadsheetml/2006/main" count="545" uniqueCount="48">
  <si>
    <t>SL No.</t>
  </si>
  <si>
    <t>Date</t>
  </si>
  <si>
    <t>Product Category</t>
  </si>
  <si>
    <t>Product Name</t>
  </si>
  <si>
    <t>Supplier Name</t>
  </si>
  <si>
    <t>Supplier GSTIN</t>
  </si>
  <si>
    <t>Threshhold Stock Count (In KG)</t>
  </si>
  <si>
    <t>Opening Balance (In KG)</t>
  </si>
  <si>
    <t>In Count (In KG)</t>
  </si>
  <si>
    <t>Out Count (In KG)</t>
  </si>
  <si>
    <t>Closing Balance (In KG)</t>
  </si>
  <si>
    <t>Stock Levels</t>
  </si>
  <si>
    <t>Reorder Required</t>
  </si>
  <si>
    <t>Minimum Required count (In KG)</t>
  </si>
  <si>
    <t>Grocery</t>
  </si>
  <si>
    <t>Butter</t>
  </si>
  <si>
    <t>C &amp; H Co Ltd</t>
  </si>
  <si>
    <t>19AAECM9663N1ZK</t>
  </si>
  <si>
    <t>Dal</t>
  </si>
  <si>
    <t>Sugam Dal</t>
  </si>
  <si>
    <t>19AAECM9663N1PK</t>
  </si>
  <si>
    <t>Flour</t>
  </si>
  <si>
    <t>Ganesh &amp; Ram Co</t>
  </si>
  <si>
    <t>19AAECM9773N1CF</t>
  </si>
  <si>
    <t>Laundry detergent</t>
  </si>
  <si>
    <t>Moon Detergent</t>
  </si>
  <si>
    <t>19AAECM9885N1SJ</t>
  </si>
  <si>
    <t>Rice</t>
  </si>
  <si>
    <t>laxmi Rice Co &amp; Ltd</t>
  </si>
  <si>
    <t>19AAECM7585N1RT</t>
  </si>
  <si>
    <t>Sugar</t>
  </si>
  <si>
    <t>Raja Sugar &amp; Jaggery</t>
  </si>
  <si>
    <t>19AAECM7995N1ZL</t>
  </si>
  <si>
    <t>Tea</t>
  </si>
  <si>
    <t>Meghalaya Tea &amp; Coffee Centre</t>
  </si>
  <si>
    <t>19AAECM7589N1NW</t>
  </si>
  <si>
    <t xml:space="preserve">        19AAECM9663N1PK</t>
  </si>
  <si>
    <t xml:space="preserve">            Grocery</t>
  </si>
  <si>
    <t xml:space="preserve">           19AAECM9663N1ZK</t>
  </si>
  <si>
    <t xml:space="preserve"> Stock Levels</t>
  </si>
  <si>
    <t xml:space="preserve">Product Name </t>
  </si>
  <si>
    <t>Out Count</t>
  </si>
  <si>
    <t xml:space="preserve">Supply Name </t>
  </si>
  <si>
    <t>In count</t>
  </si>
  <si>
    <t>Grand Total</t>
  </si>
  <si>
    <t>Yes</t>
  </si>
  <si>
    <t>No</t>
  </si>
  <si>
    <t>Not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</si>
</sst>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0" fillId="0" borderId="5" xfId="0" applyBorder="1"/>
    <xf numFmtId="9" fontId="0" fillId="0" borderId="5" xfId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left"/>
    </xf>
    <xf numFmtId="0" fontId="0" fillId="0" borderId="8" xfId="0" applyBorder="1"/>
    <xf numFmtId="9" fontId="0" fillId="0" borderId="8" xfId="1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1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/>
    </xf>
    <xf numFmtId="0" fontId="0" fillId="0" borderId="11" xfId="0" applyBorder="1"/>
    <xf numFmtId="9" fontId="0" fillId="0" borderId="11" xfId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0" fontId="0" fillId="0" borderId="8" xfId="1" applyNumberFormat="1" applyFont="1" applyBorder="1" applyAlignment="1">
      <alignment horizontal="center" vertical="center"/>
    </xf>
    <xf numFmtId="1" fontId="0" fillId="0" borderId="8" xfId="0" applyNumberFormat="1" applyBorder="1" applyAlignment="1">
      <alignment horizontal="center" vertical="center"/>
    </xf>
    <xf numFmtId="14" fontId="0" fillId="0" borderId="0" xfId="0" applyNumberFormat="1" applyAlignment="1">
      <alignment horizontal="left"/>
    </xf>
    <xf numFmtId="9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14" fontId="0" fillId="0" borderId="0" xfId="0" applyNumberFormat="1"/>
  </cellXfs>
  <cellStyles count="2">
    <cellStyle name="Normal" xfId="0" builtinId="0"/>
    <cellStyle name="Percent" xfId="1" builtinId="5"/>
  </cellStyles>
  <dxfs count="13">
    <dxf>
      <fill>
        <patternFill>
          <bgColor rgb="FFEE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EE0000"/>
        </patternFill>
      </fill>
    </dxf>
    <dxf>
      <fill>
        <patternFill>
          <bgColor rgb="FFEE0000"/>
        </patternFill>
      </fill>
    </dxf>
    <dxf>
      <fill>
        <patternFill>
          <bgColor rgb="FF00B050"/>
        </patternFill>
      </fill>
    </dxf>
    <dxf>
      <font>
        <color theme="1"/>
      </font>
      <fill>
        <patternFill>
          <bgColor rgb="FF00B05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5"/>
                </a:solidFill>
              </a:rPr>
              <a:t>Date Wise Stock Lavels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5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6736657917760281E-3"/>
              <c:y val="-7.63542578011081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6736657917760281E-3"/>
              <c:y val="-7.63542578011081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7.6736657917760281E-3"/>
              <c:y val="-7.635425780110818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6.0544252538409969E-2"/>
              <c:y val="8.016374688150411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-9.0999722042064302E-2"/>
              <c:y val="-9.48855288004301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0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44-4525-BBD3-874119773FC7}"/>
              </c:ext>
            </c:extLst>
          </c:dPt>
          <c:dPt>
            <c:idx val="2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44-4525-BBD3-874119773FC7}"/>
              </c:ext>
            </c:extLst>
          </c:dPt>
          <c:dPt>
            <c:idx val="4"/>
            <c:marker>
              <c:symbol val="none"/>
            </c:marker>
            <c:bubble3D val="0"/>
            <c:spPr>
              <a:ln w="28575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CF44-4525-BBD3-874119773FC7}"/>
              </c:ext>
            </c:extLst>
          </c:dPt>
          <c:dLbls>
            <c:dLbl>
              <c:idx val="0"/>
              <c:layout>
                <c:manualLayout>
                  <c:x val="-9.0999722042064302E-2"/>
                  <c:y val="-9.488552880043010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F44-4525-BBD3-874119773FC7}"/>
                </c:ext>
              </c:extLst>
            </c:dLbl>
            <c:dLbl>
              <c:idx val="2"/>
              <c:layout>
                <c:manualLayout>
                  <c:x val="-6.0544252538409969E-2"/>
                  <c:y val="8.01637468815041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F44-4525-BBD3-874119773FC7}"/>
                </c:ext>
              </c:extLst>
            </c:dLbl>
            <c:dLbl>
              <c:idx val="4"/>
              <c:layout>
                <c:manualLayout>
                  <c:x val="-7.6736657917760281E-3"/>
                  <c:y val="-7.635425780110818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F44-4525-BBD3-874119773F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01-06-2025</c:v>
              </c:pt>
              <c:pt idx="1">
                <c:v>02-06-2025</c:v>
              </c:pt>
              <c:pt idx="2">
                <c:v>03-06-2025</c:v>
              </c:pt>
              <c:pt idx="3">
                <c:v>04-06-2025</c:v>
              </c:pt>
              <c:pt idx="4">
                <c:v>05-06-2025</c:v>
              </c:pt>
            </c:strLit>
          </c:cat>
          <c:val>
            <c:numLit>
              <c:formatCode>General</c:formatCode>
              <c:ptCount val="5"/>
              <c:pt idx="0">
                <c:v>4.354166666666667</c:v>
              </c:pt>
              <c:pt idx="1">
                <c:v>9.3375000000000004</c:v>
              </c:pt>
              <c:pt idx="2">
                <c:v>5.7958333333333334</c:v>
              </c:pt>
              <c:pt idx="3">
                <c:v>9.1124999999999989</c:v>
              </c:pt>
              <c:pt idx="4">
                <c:v>5.3125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6-CF44-4525-BBD3-874119773FC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4233055"/>
        <c:axId val="194234975"/>
      </c:lineChart>
      <c:catAx>
        <c:axId val="19423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34975"/>
        <c:crosses val="autoZero"/>
        <c:auto val="1"/>
        <c:lblAlgn val="ctr"/>
        <c:lblOffset val="100"/>
        <c:noMultiLvlLbl val="0"/>
      </c:catAx>
      <c:valAx>
        <c:axId val="194234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233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5"/>
                </a:solidFill>
              </a:rPr>
              <a:t>Product Name Wise Out count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E3716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5400000" spcFirstLastPara="1" vertOverflow="ellipsis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v>Total</c:v>
          </c:tx>
          <c:spPr>
            <a:solidFill>
              <a:srgbClr val="FE3716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7"/>
              <c:pt idx="0">
                <c:v>Butter</c:v>
              </c:pt>
              <c:pt idx="1">
                <c:v>Dal</c:v>
              </c:pt>
              <c:pt idx="2">
                <c:v>Flour</c:v>
              </c:pt>
              <c:pt idx="3">
                <c:v>Laundry detergent</c:v>
              </c:pt>
              <c:pt idx="4">
                <c:v>Rice</c:v>
              </c:pt>
              <c:pt idx="5">
                <c:v>Sugar</c:v>
              </c:pt>
              <c:pt idx="6">
                <c:v>Tea</c:v>
              </c:pt>
            </c:strLit>
          </c:cat>
          <c:val>
            <c:numLit>
              <c:formatCode>General</c:formatCode>
              <c:ptCount val="7"/>
              <c:pt idx="0">
                <c:v>675</c:v>
              </c:pt>
              <c:pt idx="1">
                <c:v>2000</c:v>
              </c:pt>
              <c:pt idx="2">
                <c:v>3950</c:v>
              </c:pt>
              <c:pt idx="3">
                <c:v>5100</c:v>
              </c:pt>
              <c:pt idx="4">
                <c:v>7050</c:v>
              </c:pt>
              <c:pt idx="5">
                <c:v>4250</c:v>
              </c:pt>
              <c:pt idx="6">
                <c:v>1850</c:v>
              </c:pt>
            </c:numLit>
          </c:val>
          <c:extLst>
            <c:ext xmlns:c16="http://schemas.microsoft.com/office/drawing/2014/chart" uri="{C3380CC4-5D6E-409C-BE32-E72D297353CC}">
              <c16:uniqueId val="{00000000-AC5A-4B3F-A6FD-78B6E16899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02196319"/>
        <c:axId val="1202196799"/>
        <c:axId val="0"/>
      </c:bar3DChart>
      <c:catAx>
        <c:axId val="12021963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196799"/>
        <c:crosses val="autoZero"/>
        <c:auto val="1"/>
        <c:lblAlgn val="ctr"/>
        <c:lblOffset val="100"/>
        <c:noMultiLvlLbl val="0"/>
      </c:catAx>
      <c:valAx>
        <c:axId val="1202196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19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5"/>
                </a:solidFill>
              </a:rPr>
              <a:t>Supply</a:t>
            </a:r>
            <a:r>
              <a:rPr lang="en-US" b="1" baseline="0">
                <a:solidFill>
                  <a:schemeClr val="accent5"/>
                </a:solidFill>
              </a:rPr>
              <a:t> Name Wise Incount </a:t>
            </a:r>
            <a:endParaRPr lang="en-US" b="1">
              <a:solidFill>
                <a:schemeClr val="accent5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6.6826334208223972E-3"/>
              <c:y val="7.5379848352289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6.6826334208223972E-3"/>
              <c:y val="7.53798483522892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5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6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7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8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9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9933FF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-1.2211593612966544E-2"/>
              <c:y val="5.461525486219676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33CC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3"/>
        <c:spPr>
          <a:solidFill>
            <a:srgbClr val="EE0000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4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5"/>
        <c:spPr>
          <a:solidFill>
            <a:srgbClr val="66FF66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6"/>
        <c:spPr>
          <a:solidFill>
            <a:srgbClr val="9900FF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17"/>
        <c:spPr>
          <a:solidFill>
            <a:srgbClr val="3399FF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dLbl>
          <c:idx val="0"/>
          <c:layout>
            <c:manualLayout>
              <c:x val="3.555119237178099E-2"/>
              <c:y val="6.044817421857819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rgbClr val="9933FF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37D-410B-8CDE-2163EA7A8689}"/>
              </c:ext>
            </c:extLst>
          </c:dPt>
          <c:dPt>
            <c:idx val="1"/>
            <c:bubble3D val="0"/>
            <c:spPr>
              <a:solidFill>
                <a:srgbClr val="FF33CC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37D-410B-8CDE-2163EA7A8689}"/>
              </c:ext>
            </c:extLst>
          </c:dPt>
          <c:dPt>
            <c:idx val="2"/>
            <c:bubble3D val="0"/>
            <c:spPr>
              <a:solidFill>
                <a:srgbClr val="EE0000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37D-410B-8CDE-2163EA7A86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37D-410B-8CDE-2163EA7A8689}"/>
              </c:ext>
            </c:extLst>
          </c:dPt>
          <c:dPt>
            <c:idx val="4"/>
            <c:bubble3D val="0"/>
            <c:spPr>
              <a:solidFill>
                <a:srgbClr val="66FF6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37D-410B-8CDE-2163EA7A8689}"/>
              </c:ext>
            </c:extLst>
          </c:dPt>
          <c:dPt>
            <c:idx val="5"/>
            <c:bubble3D val="0"/>
            <c:spPr>
              <a:solidFill>
                <a:srgbClr val="9900FF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37D-410B-8CDE-2163EA7A8689}"/>
              </c:ext>
            </c:extLst>
          </c:dPt>
          <c:dPt>
            <c:idx val="6"/>
            <c:bubble3D val="0"/>
            <c:spPr>
              <a:solidFill>
                <a:srgbClr val="3399FF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37D-410B-8CDE-2163EA7A8689}"/>
              </c:ext>
            </c:extLst>
          </c:dPt>
          <c:dLbls>
            <c:dLbl>
              <c:idx val="0"/>
              <c:layout>
                <c:manualLayout>
                  <c:x val="-1.2211593612966544E-2"/>
                  <c:y val="5.461525486219676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37D-410B-8CDE-2163EA7A8689}"/>
                </c:ext>
              </c:extLst>
            </c:dLbl>
            <c:dLbl>
              <c:idx val="6"/>
              <c:layout>
                <c:manualLayout>
                  <c:x val="3.555119237178099E-2"/>
                  <c:y val="6.0448174218578198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37D-410B-8CDE-2163EA7A86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7"/>
              <c:pt idx="0">
                <c:v>C &amp; H Co Ltd</c:v>
              </c:pt>
              <c:pt idx="1">
                <c:v>Ganesh &amp; Ram Co</c:v>
              </c:pt>
              <c:pt idx="2">
                <c:v>laxmi Rice Co &amp; Ltd</c:v>
              </c:pt>
              <c:pt idx="3">
                <c:v>Meghalaya Tea &amp; Coffee Centre</c:v>
              </c:pt>
              <c:pt idx="4">
                <c:v>Moon Detergent</c:v>
              </c:pt>
              <c:pt idx="5">
                <c:v>Raja Sugar &amp; Jaggery</c:v>
              </c:pt>
              <c:pt idx="6">
                <c:v>Sugam Dal</c:v>
              </c:pt>
            </c:strLit>
          </c:cat>
          <c:val>
            <c:numLit>
              <c:formatCode>General</c:formatCode>
              <c:ptCount val="7"/>
              <c:pt idx="0">
                <c:v>650</c:v>
              </c:pt>
              <c:pt idx="1">
                <c:v>4000</c:v>
              </c:pt>
              <c:pt idx="2">
                <c:v>9000</c:v>
              </c:pt>
              <c:pt idx="3">
                <c:v>1750</c:v>
              </c:pt>
              <c:pt idx="4">
                <c:v>4500</c:v>
              </c:pt>
              <c:pt idx="5">
                <c:v>4000</c:v>
              </c:pt>
              <c:pt idx="6">
                <c:v>1650</c:v>
              </c:pt>
            </c:numLit>
          </c:val>
          <c:extLst>
            <c:ext xmlns:c16="http://schemas.microsoft.com/office/drawing/2014/chart" uri="{C3380CC4-5D6E-409C-BE32-E72D297353CC}">
              <c16:uniqueId val="{0000000E-337D-410B-8CDE-2163EA7A868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4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98308</xdr:rowOff>
    </xdr:from>
    <xdr:to>
      <xdr:col>7</xdr:col>
      <xdr:colOff>304800</xdr:colOff>
      <xdr:row>25</xdr:row>
      <xdr:rowOff>141240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A22E52-84B5-4D22-B68F-B43837BA80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1</xdr:colOff>
      <xdr:row>5</xdr:row>
      <xdr:rowOff>118057</xdr:rowOff>
    </xdr:from>
    <xdr:to>
      <xdr:col>22</xdr:col>
      <xdr:colOff>304800</xdr:colOff>
      <xdr:row>25</xdr:row>
      <xdr:rowOff>171721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961CB3-0EE6-4189-B19E-FC425AF744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298793</xdr:colOff>
      <xdr:row>5</xdr:row>
      <xdr:rowOff>105929</xdr:rowOff>
    </xdr:from>
    <xdr:to>
      <xdr:col>14</xdr:col>
      <xdr:colOff>603592</xdr:colOff>
      <xdr:row>25</xdr:row>
      <xdr:rowOff>164209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748CDC7-0D13-471A-B740-78975710CB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0</xdr:col>
      <xdr:colOff>9045</xdr:colOff>
      <xdr:row>0</xdr:row>
      <xdr:rowOff>94604</xdr:rowOff>
    </xdr:from>
    <xdr:ext cx="13722195" cy="937693"/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300C4FF-BC10-4B9B-B7E0-B5B61BFEDFB0}"/>
            </a:ext>
          </a:extLst>
        </xdr:cNvPr>
        <xdr:cNvSpPr/>
      </xdr:nvSpPr>
      <xdr:spPr>
        <a:xfrm>
          <a:off x="9045" y="94604"/>
          <a:ext cx="13722195" cy="93769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</xdr:spPr>
      <xdr:txBody>
        <a:bodyPr wrap="square" lIns="91440" tIns="45720" rIns="91440" bIns="45720">
          <a:spAutoFit/>
          <a:scene3d>
            <a:camera prst="orthographicFront"/>
            <a:lightRig rig="soft" dir="t">
              <a:rot lat="0" lon="0" rev="15600000"/>
            </a:lightRig>
          </a:scene3d>
          <a:sp3d extrusionH="57150" prstMaterial="softEdge">
            <a:bevelT w="25400" h="38100"/>
          </a:sp3d>
        </a:bodyPr>
        <a:lstStyle/>
        <a:p>
          <a:pPr algn="ctr"/>
          <a:r>
            <a:rPr lang="en-US" sz="5400" b="1" cap="none" spc="0">
              <a:ln/>
              <a:solidFill>
                <a:srgbClr val="002060"/>
              </a:solidFill>
              <a:effectLst/>
            </a:rPr>
            <a:t>Inventory Performance Dashboard</a:t>
          </a:r>
        </a:p>
      </xdr:txBody>
    </xdr:sp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invalid="1" refreshedBy="Taposi howlader" refreshedDate="45825.688249652776" createdVersion="8" refreshedVersion="8" minRefreshableVersion="3" recordCount="35" xr:uid="{668248EF-D854-4150-A4DA-3100101C093F}">
  <cacheSource type="worksheet">
    <worksheetSource ref="A1:N36" sheet="Main Data "/>
  </cacheSource>
  <cacheFields count="14">
    <cacheField name="SL No." numFmtId="0">
      <sharedItems containsSemiMixedTypes="0" containsString="0" containsNumber="1" containsInteger="1" minValue="1" maxValue="35"/>
    </cacheField>
    <cacheField name="Date" numFmtId="14">
      <sharedItems containsSemiMixedTypes="0" containsNonDate="0" containsDate="1" containsString="0" minDate="2025-06-01T00:00:00" maxDate="2025-06-06T00:00:00" count="5">
        <d v="2025-06-01T00:00:00"/>
        <d v="2025-06-02T00:00:00"/>
        <d v="2025-06-03T00:00:00"/>
        <d v="2025-06-04T00:00:00"/>
        <d v="2025-06-05T00:00:00"/>
      </sharedItems>
    </cacheField>
    <cacheField name="Product Category" numFmtId="0">
      <sharedItems/>
    </cacheField>
    <cacheField name="Product Name" numFmtId="0">
      <sharedItems count="7">
        <s v="Butter"/>
        <s v="Dal"/>
        <s v="Flour"/>
        <s v="Laundry detergent"/>
        <s v="Rice"/>
        <s v="Sugar"/>
        <s v="Tea"/>
      </sharedItems>
    </cacheField>
    <cacheField name="Supplier Name" numFmtId="0">
      <sharedItems count="7">
        <s v="C &amp; H Co Ltd"/>
        <s v="Sugam Dal"/>
        <s v="Ganesh &amp; Ram Co"/>
        <s v="Moon Detergent"/>
        <s v="laxmi Rice Co &amp; Ltd"/>
        <s v="Raja Sugar &amp; Jaggery"/>
        <s v="Meghalaya Tea &amp; Coffee Centre"/>
      </sharedItems>
    </cacheField>
    <cacheField name="Supplier GSTIN" numFmtId="0">
      <sharedItems/>
    </cacheField>
    <cacheField name="Threshhold Stock Count (In KG)" numFmtId="0">
      <sharedItems containsSemiMixedTypes="0" containsString="0" containsNumber="1" containsInteger="1" minValue="100" maxValue="2000"/>
    </cacheField>
    <cacheField name="Opening Balance (In KG)" numFmtId="0">
      <sharedItems containsSemiMixedTypes="0" containsString="0" containsNumber="1" containsInteger="1" minValue="50" maxValue="3750"/>
    </cacheField>
    <cacheField name="In Count (In KG)" numFmtId="0">
      <sharedItems containsSemiMixedTypes="0" containsString="0" containsNumber="1" containsInteger="1" minValue="0" maxValue="5000"/>
    </cacheField>
    <cacheField name="Out Count (In KG)" numFmtId="0">
      <sharedItems containsSemiMixedTypes="0" containsString="0" containsNumber="1" containsInteger="1" minValue="50" maxValue="2000"/>
    </cacheField>
    <cacheField name="Closing Balance (In KG)" numFmtId="0">
      <sharedItems containsSemiMixedTypes="0" containsString="0" containsNumber="1" containsInteger="1" minValue="25" maxValue="3750"/>
    </cacheField>
    <cacheField name="Stock Levels" numFmtId="9">
      <sharedItems containsSemiMixedTypes="0" containsString="0" containsNumber="1" minValue="0.22500000000000001" maxValue="2.5"/>
    </cacheField>
    <cacheField name="Reorder Required" numFmtId="0">
      <sharedItems/>
    </cacheField>
    <cacheField name="Minimum Required count (In KG)" numFmtId="0">
      <sharedItems containsMixedTypes="1" containsNumber="1" containsInteger="1" minValue="25" maxValue="15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C5DCFB-8EE1-4A86-8C54-C85FF9E3959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 rowHeaderCaption="Product Name ">
  <location ref="D3:E11" firstHeaderRow="1" firstDataRow="1" firstDataCol="1"/>
  <pivotFields count="14">
    <pivotField showAll="0"/>
    <pivotField numFmtId="14" showAll="0"/>
    <pivotField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numFmtId="9"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Out Count" fld="9" baseField="0" baseItem="0"/>
  </dataFields>
  <chartFormats count="1">
    <chartFormat chart="2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505B79-592B-4309-88F3-0F0444EF4A76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 rowHeaderCaption="Supply Name ">
  <location ref="G3:H11" firstHeaderRow="1" firstDataRow="1" firstDataCol="1"/>
  <pivotFields count="14">
    <pivotField showAll="0"/>
    <pivotField numFmtId="14" showAll="0"/>
    <pivotField showAll="0"/>
    <pivotField showAll="0"/>
    <pivotField axis="axisRow" showAll="0">
      <items count="8">
        <item x="0"/>
        <item x="2"/>
        <item x="4"/>
        <item x="6"/>
        <item x="3"/>
        <item x="5"/>
        <item x="1"/>
        <item t="default"/>
      </items>
    </pivotField>
    <pivotField showAll="0"/>
    <pivotField showAll="0"/>
    <pivotField showAll="0"/>
    <pivotField dataField="1" showAll="0"/>
    <pivotField showAll="0"/>
    <pivotField showAll="0"/>
    <pivotField numFmtId="9"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In count" fld="8" baseField="0" baseItem="0"/>
  </dataFields>
  <chartFormats count="8">
    <chartFormat chart="1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4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4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4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14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14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4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A594D55-4F76-4C63-92A2-97416023ECC9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 rowHeaderCaption="Date">
  <location ref="A3:B9" firstHeaderRow="1" firstDataRow="1" firstDataCol="1"/>
  <pivotFields count="14">
    <pivotField showAll="0"/>
    <pivotField axis="axisRow" numFmtId="14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9" showAll="0"/>
    <pivotField showAll="0"/>
    <pivotField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 Stock Levels" fld="11" baseField="0" baseItem="0" numFmtId="9"/>
  </dataFields>
  <chartFormats count="4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790BFE4-AE0E-443B-AFE2-D79243850969}" autoFormatId="16" applyNumberFormats="0" applyBorderFormats="0" applyFontFormats="0" applyPatternFormats="0" applyAlignmentFormats="0" applyWidthHeightFormats="0">
  <queryTableRefresh nextId="15">
    <queryTableFields count="14">
      <queryTableField id="1" name="SL No." tableColumnId="1"/>
      <queryTableField id="2" name="Date" tableColumnId="2"/>
      <queryTableField id="3" name="Product Category" tableColumnId="3"/>
      <queryTableField id="4" name="Product Name" tableColumnId="4"/>
      <queryTableField id="5" name="Supplier Name" tableColumnId="5"/>
      <queryTableField id="6" name="Supplier GSTIN" tableColumnId="6"/>
      <queryTableField id="7" name="Threshhold Stock Count (In KG)" tableColumnId="7"/>
      <queryTableField id="8" name="Opening Balance (In KG)" tableColumnId="8"/>
      <queryTableField id="9" name="In Count (In KG)" tableColumnId="9"/>
      <queryTableField id="10" name="Out Count (In KG)" tableColumnId="10"/>
      <queryTableField id="11" name="Closing Balance (In KG)" tableColumnId="11"/>
      <queryTableField id="12" name="Stock Levels" tableColumnId="12"/>
      <queryTableField id="13" name="Reorder Required" tableColumnId="13"/>
      <queryTableField id="14" name="Minimum Required count (In KG)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C4375BF-0E28-4E68-82BB-EA01EFA11433}" name="Unclear_data" displayName="Unclear_data" ref="A1:N36" tableType="queryTable" totalsRowShown="0">
  <autoFilter ref="A1:N36" xr:uid="{EC4375BF-0E28-4E68-82BB-EA01EFA11433}"/>
  <tableColumns count="14">
    <tableColumn id="1" xr3:uid="{582AAC09-4B04-488D-B99E-D7DC874D1681}" uniqueName="1" name="SL No." queryTableFieldId="1"/>
    <tableColumn id="2" xr3:uid="{2671B122-6667-4DA3-A329-82E19E734406}" uniqueName="2" name="Date" queryTableFieldId="2" dataDxfId="12"/>
    <tableColumn id="3" xr3:uid="{42CE7EA4-59EF-4E34-8CFE-E1749DA78111}" uniqueName="3" name="Product Category" queryTableFieldId="3" dataDxfId="11"/>
    <tableColumn id="4" xr3:uid="{6961B416-AA7A-4845-A9C6-CE6EB956EBD5}" uniqueName="4" name="Product Name" queryTableFieldId="4" dataDxfId="10"/>
    <tableColumn id="5" xr3:uid="{87FE259A-10F3-4284-8D7B-6F38D2417F20}" uniqueName="5" name="Supplier Name" queryTableFieldId="5" dataDxfId="9"/>
    <tableColumn id="6" xr3:uid="{2D6B04BD-4132-482D-97E4-8D60F9A39B3D}" uniqueName="6" name="Supplier GSTIN" queryTableFieldId="6" dataDxfId="8"/>
    <tableColumn id="7" xr3:uid="{14A7F3FF-727E-4A94-BF2D-E80D2C60989C}" uniqueName="7" name="Threshhold Stock Count (In KG)" queryTableFieldId="7"/>
    <tableColumn id="8" xr3:uid="{C113C51A-D861-4D84-85C4-005F94698B27}" uniqueName="8" name="Opening Balance (In KG)" queryTableFieldId="8"/>
    <tableColumn id="9" xr3:uid="{0684EB38-B5F5-4536-A016-0F4E79E5A4C0}" uniqueName="9" name="In Count (In KG)" queryTableFieldId="9"/>
    <tableColumn id="10" xr3:uid="{147F9DE6-F2F8-4D3A-A4EA-8021C4E666F6}" uniqueName="10" name="Out Count (In KG)" queryTableFieldId="10"/>
    <tableColumn id="11" xr3:uid="{4DD69BE6-AA1A-4BCE-8F39-B8B5E6DA2995}" uniqueName="11" name="Closing Balance (In KG)" queryTableFieldId="11"/>
    <tableColumn id="12" xr3:uid="{D9C4AA2B-3464-41F2-BA88-59B5962C7415}" uniqueName="12" name="Stock Levels" queryTableFieldId="12"/>
    <tableColumn id="13" xr3:uid="{402FB626-4C20-42DF-A5F6-911122F4C693}" uniqueName="13" name="Reorder Required" queryTableFieldId="13" dataDxfId="7"/>
    <tableColumn id="14" xr3:uid="{CECEC962-9EC5-426E-BEDD-AD6E4CA3D221}" uniqueName="14" name="Minimum Required count (In KG)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AD5E8-EA41-41A2-ACA8-453F49CD78D9}">
  <dimension ref="A1:N36"/>
  <sheetViews>
    <sheetView showGridLines="0" workbookViewId="0">
      <selection activeCell="P7" sqref="P7"/>
    </sheetView>
  </sheetViews>
  <sheetFormatPr defaultRowHeight="14.4" x14ac:dyDescent="0.3"/>
  <cols>
    <col min="1" max="1" width="6.21875" bestFit="1" customWidth="1"/>
    <col min="2" max="2" width="10.33203125" bestFit="1" customWidth="1"/>
    <col min="3" max="3" width="8.33203125" bestFit="1" customWidth="1"/>
    <col min="4" max="4" width="15.44140625" bestFit="1" customWidth="1"/>
    <col min="5" max="5" width="26.21875" bestFit="1" customWidth="1"/>
    <col min="6" max="6" width="18.44140625" bestFit="1" customWidth="1"/>
    <col min="7" max="7" width="8.44140625" bestFit="1" customWidth="1"/>
    <col min="8" max="8" width="7.88671875" bestFit="1" customWidth="1"/>
    <col min="9" max="9" width="7.77734375" bestFit="1" customWidth="1"/>
    <col min="10" max="10" width="8.44140625" bestFit="1" customWidth="1"/>
    <col min="11" max="11" width="7.6640625" bestFit="1" customWidth="1"/>
    <col min="12" max="12" width="6.21875" bestFit="1" customWidth="1"/>
    <col min="13" max="13" width="8.5546875" bestFit="1" customWidth="1"/>
    <col min="14" max="14" width="11.44140625" bestFit="1" customWidth="1"/>
  </cols>
  <sheetData>
    <row r="1" spans="1:14" ht="58.2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ht="15" thickBot="1" x14ac:dyDescent="0.35">
      <c r="A2" s="4">
        <v>1</v>
      </c>
      <c r="B2" s="5">
        <v>45809</v>
      </c>
      <c r="C2" s="6" t="s">
        <v>14</v>
      </c>
      <c r="D2" s="7" t="s">
        <v>15</v>
      </c>
      <c r="E2" s="8" t="s">
        <v>16</v>
      </c>
      <c r="F2" s="8" t="s">
        <v>17</v>
      </c>
      <c r="G2" s="6">
        <v>100</v>
      </c>
      <c r="H2" s="6">
        <v>50</v>
      </c>
      <c r="I2" s="6">
        <v>100</v>
      </c>
      <c r="J2" s="6">
        <v>75</v>
      </c>
      <c r="K2" s="6">
        <f>(H2+I2)-J2</f>
        <v>75</v>
      </c>
      <c r="L2" s="9">
        <f>K2/G2</f>
        <v>0.75</v>
      </c>
      <c r="M2" s="6" t="str">
        <f>IF(AND(K3&lt;G3,L3&lt;100%),"Yes","No")</f>
        <v>Yes</v>
      </c>
      <c r="N2" s="10">
        <f>IF(OR(K2&lt;G2,L2&lt;100%),(G2-K2),"Not Required")</f>
        <v>25</v>
      </c>
    </row>
    <row r="3" spans="1:14" ht="15" thickBot="1" x14ac:dyDescent="0.35">
      <c r="A3" s="11">
        <f>A2+1</f>
        <v>2</v>
      </c>
      <c r="B3" s="12">
        <v>45809</v>
      </c>
      <c r="C3" s="13" t="s">
        <v>14</v>
      </c>
      <c r="D3" s="14" t="s">
        <v>18</v>
      </c>
      <c r="E3" s="15" t="s">
        <v>19</v>
      </c>
      <c r="F3" s="15" t="s">
        <v>20</v>
      </c>
      <c r="G3" s="13">
        <v>500</v>
      </c>
      <c r="H3" s="13">
        <v>650</v>
      </c>
      <c r="I3" s="13">
        <v>150</v>
      </c>
      <c r="J3" s="13">
        <v>400</v>
      </c>
      <c r="K3" s="13">
        <f t="shared" ref="K3:K36" si="0">(H3+I3)-J3</f>
        <v>400</v>
      </c>
      <c r="L3" s="16">
        <f t="shared" ref="L3:L36" si="1">K3/G3</f>
        <v>0.8</v>
      </c>
      <c r="M3" s="6" t="str">
        <f t="shared" ref="M3:M36" si="2">IF(AND(K4&lt;G4,L4&lt;100%),"Yes","No")</f>
        <v>Yes</v>
      </c>
      <c r="N3" s="17">
        <f t="shared" ref="N3:N36" si="3">IF(OR(K3&lt;G3,L3&lt;100%),(G3-K3),"Not Required")</f>
        <v>100</v>
      </c>
    </row>
    <row r="4" spans="1:14" ht="15" thickBot="1" x14ac:dyDescent="0.35">
      <c r="A4" s="11">
        <f t="shared" ref="A4:A36" si="4">A3+1</f>
        <v>3</v>
      </c>
      <c r="B4" s="12">
        <v>45809</v>
      </c>
      <c r="C4" s="13" t="s">
        <v>14</v>
      </c>
      <c r="D4" s="14" t="s">
        <v>21</v>
      </c>
      <c r="E4" s="15" t="s">
        <v>22</v>
      </c>
      <c r="F4" s="15" t="s">
        <v>23</v>
      </c>
      <c r="G4" s="13">
        <v>1000</v>
      </c>
      <c r="H4" s="13">
        <v>650</v>
      </c>
      <c r="I4" s="13">
        <v>500</v>
      </c>
      <c r="J4" s="13">
        <v>600</v>
      </c>
      <c r="K4" s="13">
        <f t="shared" si="0"/>
        <v>550</v>
      </c>
      <c r="L4" s="16">
        <f t="shared" si="1"/>
        <v>0.55000000000000004</v>
      </c>
      <c r="M4" s="6" t="str">
        <f t="shared" si="2"/>
        <v>Yes</v>
      </c>
      <c r="N4" s="17">
        <f t="shared" si="3"/>
        <v>450</v>
      </c>
    </row>
    <row r="5" spans="1:14" ht="15" thickBot="1" x14ac:dyDescent="0.35">
      <c r="A5" s="11">
        <f t="shared" si="4"/>
        <v>4</v>
      </c>
      <c r="B5" s="12">
        <v>45809</v>
      </c>
      <c r="C5" s="13" t="s">
        <v>14</v>
      </c>
      <c r="D5" s="14" t="s">
        <v>24</v>
      </c>
      <c r="E5" s="15" t="s">
        <v>25</v>
      </c>
      <c r="F5" s="15" t="s">
        <v>26</v>
      </c>
      <c r="G5" s="13">
        <v>1500</v>
      </c>
      <c r="H5" s="13">
        <v>1500</v>
      </c>
      <c r="I5" s="13">
        <v>0</v>
      </c>
      <c r="J5" s="13">
        <v>900</v>
      </c>
      <c r="K5" s="13">
        <f t="shared" si="0"/>
        <v>600</v>
      </c>
      <c r="L5" s="16">
        <f t="shared" si="1"/>
        <v>0.4</v>
      </c>
      <c r="M5" s="6" t="str">
        <f t="shared" si="2"/>
        <v>Yes</v>
      </c>
      <c r="N5" s="17">
        <f t="shared" si="3"/>
        <v>900</v>
      </c>
    </row>
    <row r="6" spans="1:14" ht="15" thickBot="1" x14ac:dyDescent="0.35">
      <c r="A6" s="11">
        <f t="shared" si="4"/>
        <v>5</v>
      </c>
      <c r="B6" s="12">
        <v>45809</v>
      </c>
      <c r="C6" s="13" t="s">
        <v>14</v>
      </c>
      <c r="D6" s="14" t="s">
        <v>27</v>
      </c>
      <c r="E6" s="15" t="s">
        <v>28</v>
      </c>
      <c r="F6" s="15" t="s">
        <v>29</v>
      </c>
      <c r="G6" s="13">
        <v>2000</v>
      </c>
      <c r="H6" s="13">
        <v>1500</v>
      </c>
      <c r="I6" s="13">
        <v>1000</v>
      </c>
      <c r="J6" s="13">
        <v>750</v>
      </c>
      <c r="K6" s="13">
        <f t="shared" si="0"/>
        <v>1750</v>
      </c>
      <c r="L6" s="16">
        <f t="shared" si="1"/>
        <v>0.875</v>
      </c>
      <c r="M6" s="6" t="str">
        <f t="shared" si="2"/>
        <v>Yes</v>
      </c>
      <c r="N6" s="17">
        <f t="shared" si="3"/>
        <v>250</v>
      </c>
    </row>
    <row r="7" spans="1:14" ht="15" thickBot="1" x14ac:dyDescent="0.35">
      <c r="A7" s="11">
        <f t="shared" si="4"/>
        <v>6</v>
      </c>
      <c r="B7" s="12">
        <v>45809</v>
      </c>
      <c r="C7" s="13" t="s">
        <v>14</v>
      </c>
      <c r="D7" s="14" t="s">
        <v>30</v>
      </c>
      <c r="E7" s="15" t="s">
        <v>31</v>
      </c>
      <c r="F7" s="15" t="s">
        <v>32</v>
      </c>
      <c r="G7" s="13">
        <v>800</v>
      </c>
      <c r="H7" s="13">
        <v>1000</v>
      </c>
      <c r="I7" s="13">
        <v>0</v>
      </c>
      <c r="J7" s="13">
        <v>750</v>
      </c>
      <c r="K7" s="13">
        <f t="shared" si="0"/>
        <v>250</v>
      </c>
      <c r="L7" s="16">
        <f t="shared" si="1"/>
        <v>0.3125</v>
      </c>
      <c r="M7" s="6" t="str">
        <f t="shared" si="2"/>
        <v>Yes</v>
      </c>
      <c r="N7" s="17">
        <f t="shared" si="3"/>
        <v>550</v>
      </c>
    </row>
    <row r="8" spans="1:14" ht="15" thickBot="1" x14ac:dyDescent="0.35">
      <c r="A8" s="11">
        <f t="shared" si="4"/>
        <v>7</v>
      </c>
      <c r="B8" s="12">
        <v>45809</v>
      </c>
      <c r="C8" s="13" t="s">
        <v>14</v>
      </c>
      <c r="D8" s="14" t="s">
        <v>33</v>
      </c>
      <c r="E8" s="15" t="s">
        <v>34</v>
      </c>
      <c r="F8" s="15" t="s">
        <v>35</v>
      </c>
      <c r="G8" s="13">
        <v>300</v>
      </c>
      <c r="H8" s="13">
        <v>250</v>
      </c>
      <c r="I8" s="13">
        <v>250</v>
      </c>
      <c r="J8" s="13">
        <v>300</v>
      </c>
      <c r="K8" s="13">
        <f t="shared" si="0"/>
        <v>200</v>
      </c>
      <c r="L8" s="16">
        <f t="shared" si="1"/>
        <v>0.66666666666666663</v>
      </c>
      <c r="M8" s="6" t="str">
        <f t="shared" si="2"/>
        <v>No</v>
      </c>
      <c r="N8" s="17">
        <f t="shared" si="3"/>
        <v>100</v>
      </c>
    </row>
    <row r="9" spans="1:14" ht="15" thickBot="1" x14ac:dyDescent="0.35">
      <c r="A9" s="11">
        <f t="shared" si="4"/>
        <v>8</v>
      </c>
      <c r="B9" s="12">
        <v>45810</v>
      </c>
      <c r="C9" s="13" t="s">
        <v>14</v>
      </c>
      <c r="D9" s="14" t="s">
        <v>15</v>
      </c>
      <c r="E9" s="15" t="s">
        <v>16</v>
      </c>
      <c r="F9" s="15" t="s">
        <v>17</v>
      </c>
      <c r="G9" s="13">
        <v>100</v>
      </c>
      <c r="H9" s="13">
        <v>75</v>
      </c>
      <c r="I9" s="13">
        <v>200</v>
      </c>
      <c r="J9" s="13">
        <v>50</v>
      </c>
      <c r="K9" s="13">
        <f t="shared" si="0"/>
        <v>225</v>
      </c>
      <c r="L9" s="16">
        <f t="shared" si="1"/>
        <v>2.25</v>
      </c>
      <c r="M9" s="6" t="str">
        <f t="shared" si="2"/>
        <v>No</v>
      </c>
      <c r="N9" s="17" t="str">
        <f t="shared" si="3"/>
        <v>Not Required</v>
      </c>
    </row>
    <row r="10" spans="1:14" ht="15" thickBot="1" x14ac:dyDescent="0.35">
      <c r="A10" s="11">
        <f t="shared" si="4"/>
        <v>9</v>
      </c>
      <c r="B10" s="12">
        <v>45810</v>
      </c>
      <c r="C10" s="13" t="s">
        <v>14</v>
      </c>
      <c r="D10" s="14" t="s">
        <v>18</v>
      </c>
      <c r="E10" s="15" t="s">
        <v>19</v>
      </c>
      <c r="F10" s="15" t="s">
        <v>20</v>
      </c>
      <c r="G10" s="13">
        <v>500</v>
      </c>
      <c r="H10" s="13">
        <v>400</v>
      </c>
      <c r="I10" s="13">
        <v>500</v>
      </c>
      <c r="J10" s="13">
        <v>350</v>
      </c>
      <c r="K10" s="13">
        <f t="shared" si="0"/>
        <v>550</v>
      </c>
      <c r="L10" s="16">
        <f t="shared" si="1"/>
        <v>1.1000000000000001</v>
      </c>
      <c r="M10" s="6" t="str">
        <f t="shared" si="2"/>
        <v>No</v>
      </c>
      <c r="N10" s="17" t="str">
        <f t="shared" si="3"/>
        <v>Not Required</v>
      </c>
    </row>
    <row r="11" spans="1:14" ht="15" thickBot="1" x14ac:dyDescent="0.35">
      <c r="A11" s="11">
        <f t="shared" si="4"/>
        <v>10</v>
      </c>
      <c r="B11" s="12">
        <v>45810</v>
      </c>
      <c r="C11" s="13" t="s">
        <v>14</v>
      </c>
      <c r="D11" s="14" t="s">
        <v>21</v>
      </c>
      <c r="E11" s="15" t="s">
        <v>22</v>
      </c>
      <c r="F11" s="15" t="s">
        <v>23</v>
      </c>
      <c r="G11" s="13">
        <v>1000</v>
      </c>
      <c r="H11" s="13">
        <v>550</v>
      </c>
      <c r="I11" s="13">
        <v>1500</v>
      </c>
      <c r="J11" s="13">
        <v>900</v>
      </c>
      <c r="K11" s="13">
        <f t="shared" si="0"/>
        <v>1150</v>
      </c>
      <c r="L11" s="16">
        <f t="shared" si="1"/>
        <v>1.1499999999999999</v>
      </c>
      <c r="M11" s="6" t="str">
        <f t="shared" si="2"/>
        <v>No</v>
      </c>
      <c r="N11" s="17" t="str">
        <f t="shared" si="3"/>
        <v>Not Required</v>
      </c>
    </row>
    <row r="12" spans="1:14" ht="15" thickBot="1" x14ac:dyDescent="0.35">
      <c r="A12" s="11">
        <f t="shared" si="4"/>
        <v>11</v>
      </c>
      <c r="B12" s="12">
        <v>45810</v>
      </c>
      <c r="C12" s="13" t="s">
        <v>14</v>
      </c>
      <c r="D12" s="14" t="s">
        <v>24</v>
      </c>
      <c r="E12" s="15" t="s">
        <v>25</v>
      </c>
      <c r="F12" s="15" t="s">
        <v>26</v>
      </c>
      <c r="G12" s="13">
        <v>1500</v>
      </c>
      <c r="H12" s="13">
        <v>600</v>
      </c>
      <c r="I12" s="13">
        <v>2500</v>
      </c>
      <c r="J12" s="13">
        <v>1500</v>
      </c>
      <c r="K12" s="13">
        <f t="shared" si="0"/>
        <v>1600</v>
      </c>
      <c r="L12" s="16">
        <f t="shared" si="1"/>
        <v>1.0666666666666667</v>
      </c>
      <c r="M12" s="6" t="str">
        <f t="shared" si="2"/>
        <v>No</v>
      </c>
      <c r="N12" s="17" t="str">
        <f t="shared" si="3"/>
        <v>Not Required</v>
      </c>
    </row>
    <row r="13" spans="1:14" ht="15" thickBot="1" x14ac:dyDescent="0.35">
      <c r="A13" s="11">
        <f t="shared" si="4"/>
        <v>12</v>
      </c>
      <c r="B13" s="12">
        <v>45810</v>
      </c>
      <c r="C13" s="13" t="s">
        <v>14</v>
      </c>
      <c r="D13" s="14" t="s">
        <v>27</v>
      </c>
      <c r="E13" s="15" t="s">
        <v>28</v>
      </c>
      <c r="F13" s="15" t="s">
        <v>29</v>
      </c>
      <c r="G13" s="13">
        <v>2000</v>
      </c>
      <c r="H13" s="13">
        <v>1750</v>
      </c>
      <c r="I13" s="13">
        <v>3000</v>
      </c>
      <c r="J13" s="13">
        <v>1000</v>
      </c>
      <c r="K13" s="13">
        <f t="shared" si="0"/>
        <v>3750</v>
      </c>
      <c r="L13" s="16">
        <f t="shared" si="1"/>
        <v>1.875</v>
      </c>
      <c r="M13" s="6" t="str">
        <f t="shared" si="2"/>
        <v>No</v>
      </c>
      <c r="N13" s="17" t="str">
        <f t="shared" si="3"/>
        <v>Not Required</v>
      </c>
    </row>
    <row r="14" spans="1:14" ht="15" thickBot="1" x14ac:dyDescent="0.35">
      <c r="A14" s="11">
        <f t="shared" si="4"/>
        <v>13</v>
      </c>
      <c r="B14" s="12">
        <v>45810</v>
      </c>
      <c r="C14" s="13" t="s">
        <v>14</v>
      </c>
      <c r="D14" s="14" t="s">
        <v>30</v>
      </c>
      <c r="E14" s="15" t="s">
        <v>31</v>
      </c>
      <c r="F14" s="15" t="s">
        <v>32</v>
      </c>
      <c r="G14" s="13">
        <v>800</v>
      </c>
      <c r="H14" s="13">
        <v>250</v>
      </c>
      <c r="I14" s="13">
        <v>2000</v>
      </c>
      <c r="J14" s="13">
        <v>1400</v>
      </c>
      <c r="K14" s="13">
        <f t="shared" si="0"/>
        <v>850</v>
      </c>
      <c r="L14" s="16">
        <f t="shared" si="1"/>
        <v>1.0625</v>
      </c>
      <c r="M14" s="6" t="str">
        <f t="shared" si="2"/>
        <v>Yes</v>
      </c>
      <c r="N14" s="17" t="str">
        <f t="shared" si="3"/>
        <v>Not Required</v>
      </c>
    </row>
    <row r="15" spans="1:14" ht="15" thickBot="1" x14ac:dyDescent="0.35">
      <c r="A15" s="11">
        <f t="shared" si="4"/>
        <v>14</v>
      </c>
      <c r="B15" s="12">
        <v>45810</v>
      </c>
      <c r="C15" s="13" t="s">
        <v>14</v>
      </c>
      <c r="D15" s="14" t="s">
        <v>33</v>
      </c>
      <c r="E15" s="15" t="s">
        <v>34</v>
      </c>
      <c r="F15" s="15" t="s">
        <v>35</v>
      </c>
      <c r="G15" s="13">
        <v>300</v>
      </c>
      <c r="H15" s="13">
        <v>200</v>
      </c>
      <c r="I15" s="13">
        <v>500</v>
      </c>
      <c r="J15" s="13">
        <v>450</v>
      </c>
      <c r="K15" s="13">
        <f t="shared" si="0"/>
        <v>250</v>
      </c>
      <c r="L15" s="16">
        <f t="shared" si="1"/>
        <v>0.83333333333333337</v>
      </c>
      <c r="M15" s="6" t="str">
        <f t="shared" si="2"/>
        <v>Yes</v>
      </c>
      <c r="N15" s="17">
        <f t="shared" si="3"/>
        <v>50</v>
      </c>
    </row>
    <row r="16" spans="1:14" ht="15" thickBot="1" x14ac:dyDescent="0.35">
      <c r="A16" s="11">
        <f t="shared" si="4"/>
        <v>15</v>
      </c>
      <c r="B16" s="12">
        <v>45811</v>
      </c>
      <c r="C16" s="13" t="s">
        <v>14</v>
      </c>
      <c r="D16" s="14" t="s">
        <v>15</v>
      </c>
      <c r="E16" s="15" t="s">
        <v>16</v>
      </c>
      <c r="F16" s="15" t="s">
        <v>17</v>
      </c>
      <c r="G16" s="13">
        <v>100</v>
      </c>
      <c r="H16" s="13">
        <v>225</v>
      </c>
      <c r="I16" s="13">
        <v>0</v>
      </c>
      <c r="J16" s="13">
        <v>170</v>
      </c>
      <c r="K16" s="13">
        <f t="shared" si="0"/>
        <v>55</v>
      </c>
      <c r="L16" s="16">
        <f t="shared" si="1"/>
        <v>0.55000000000000004</v>
      </c>
      <c r="M16" s="6" t="str">
        <f t="shared" si="2"/>
        <v>Yes</v>
      </c>
      <c r="N16" s="17">
        <f t="shared" si="3"/>
        <v>45</v>
      </c>
    </row>
    <row r="17" spans="1:14" ht="15" thickBot="1" x14ac:dyDescent="0.35">
      <c r="A17" s="11">
        <f t="shared" si="4"/>
        <v>16</v>
      </c>
      <c r="B17" s="12">
        <v>45811</v>
      </c>
      <c r="C17" s="13" t="s">
        <v>14</v>
      </c>
      <c r="D17" s="14" t="s">
        <v>18</v>
      </c>
      <c r="E17" s="15" t="s">
        <v>19</v>
      </c>
      <c r="F17" s="15" t="s">
        <v>20</v>
      </c>
      <c r="G17" s="13">
        <v>500</v>
      </c>
      <c r="H17" s="13">
        <v>550</v>
      </c>
      <c r="I17" s="13">
        <v>0</v>
      </c>
      <c r="J17" s="13">
        <v>400</v>
      </c>
      <c r="K17" s="13">
        <f t="shared" si="0"/>
        <v>150</v>
      </c>
      <c r="L17" s="16">
        <f t="shared" si="1"/>
        <v>0.3</v>
      </c>
      <c r="M17" s="6" t="str">
        <f t="shared" si="2"/>
        <v>Yes</v>
      </c>
      <c r="N17" s="17">
        <f t="shared" si="3"/>
        <v>350</v>
      </c>
    </row>
    <row r="18" spans="1:14" ht="15" thickBot="1" x14ac:dyDescent="0.35">
      <c r="A18" s="11">
        <f t="shared" si="4"/>
        <v>17</v>
      </c>
      <c r="B18" s="12">
        <v>45811</v>
      </c>
      <c r="C18" s="13" t="s">
        <v>14</v>
      </c>
      <c r="D18" s="14" t="s">
        <v>21</v>
      </c>
      <c r="E18" s="15" t="s">
        <v>22</v>
      </c>
      <c r="F18" s="15" t="s">
        <v>23</v>
      </c>
      <c r="G18" s="13">
        <v>1000</v>
      </c>
      <c r="H18" s="13">
        <v>1150</v>
      </c>
      <c r="I18" s="13">
        <v>0</v>
      </c>
      <c r="J18" s="13">
        <v>800</v>
      </c>
      <c r="K18" s="13">
        <f t="shared" si="0"/>
        <v>350</v>
      </c>
      <c r="L18" s="16">
        <f t="shared" si="1"/>
        <v>0.35</v>
      </c>
      <c r="M18" s="6" t="str">
        <f t="shared" si="2"/>
        <v>Yes</v>
      </c>
      <c r="N18" s="17">
        <f t="shared" si="3"/>
        <v>650</v>
      </c>
    </row>
    <row r="19" spans="1:14" ht="15" thickBot="1" x14ac:dyDescent="0.35">
      <c r="A19" s="11">
        <f t="shared" si="4"/>
        <v>18</v>
      </c>
      <c r="B19" s="12">
        <v>45811</v>
      </c>
      <c r="C19" s="13" t="s">
        <v>14</v>
      </c>
      <c r="D19" s="14" t="s">
        <v>24</v>
      </c>
      <c r="E19" s="15" t="s">
        <v>25</v>
      </c>
      <c r="F19" s="15" t="s">
        <v>26</v>
      </c>
      <c r="G19" s="13">
        <v>1500</v>
      </c>
      <c r="H19" s="13">
        <v>1600</v>
      </c>
      <c r="I19" s="13">
        <v>0</v>
      </c>
      <c r="J19" s="13">
        <v>800</v>
      </c>
      <c r="K19" s="13">
        <f t="shared" si="0"/>
        <v>800</v>
      </c>
      <c r="L19" s="16">
        <f t="shared" si="1"/>
        <v>0.53333333333333333</v>
      </c>
      <c r="M19" s="6" t="str">
        <f t="shared" si="2"/>
        <v>No</v>
      </c>
      <c r="N19" s="17">
        <f t="shared" si="3"/>
        <v>700</v>
      </c>
    </row>
    <row r="20" spans="1:14" ht="15" thickBot="1" x14ac:dyDescent="0.35">
      <c r="A20" s="11">
        <f t="shared" si="4"/>
        <v>19</v>
      </c>
      <c r="B20" s="12">
        <v>45811</v>
      </c>
      <c r="C20" s="13" t="s">
        <v>14</v>
      </c>
      <c r="D20" s="14" t="s">
        <v>27</v>
      </c>
      <c r="E20" s="15" t="s">
        <v>28</v>
      </c>
      <c r="F20" s="15" t="s">
        <v>29</v>
      </c>
      <c r="G20" s="13">
        <v>2000</v>
      </c>
      <c r="H20" s="13">
        <v>3750</v>
      </c>
      <c r="I20" s="13">
        <v>0</v>
      </c>
      <c r="J20" s="13">
        <v>1500</v>
      </c>
      <c r="K20" s="13">
        <f t="shared" si="0"/>
        <v>2250</v>
      </c>
      <c r="L20" s="16">
        <f t="shared" si="1"/>
        <v>1.125</v>
      </c>
      <c r="M20" s="6" t="str">
        <f t="shared" si="2"/>
        <v>Yes</v>
      </c>
      <c r="N20" s="17" t="str">
        <f t="shared" si="3"/>
        <v>Not Required</v>
      </c>
    </row>
    <row r="21" spans="1:14" ht="15" thickBot="1" x14ac:dyDescent="0.35">
      <c r="A21" s="11">
        <f t="shared" si="4"/>
        <v>20</v>
      </c>
      <c r="B21" s="12">
        <v>45811</v>
      </c>
      <c r="C21" s="13" t="s">
        <v>14</v>
      </c>
      <c r="D21" s="14" t="s">
        <v>30</v>
      </c>
      <c r="E21" s="15" t="s">
        <v>31</v>
      </c>
      <c r="F21" s="15" t="s">
        <v>32</v>
      </c>
      <c r="G21" s="13">
        <v>800</v>
      </c>
      <c r="H21" s="13">
        <v>850</v>
      </c>
      <c r="I21" s="13">
        <v>0</v>
      </c>
      <c r="J21" s="13">
        <v>500</v>
      </c>
      <c r="K21" s="13">
        <f t="shared" si="0"/>
        <v>350</v>
      </c>
      <c r="L21" s="16">
        <f t="shared" si="1"/>
        <v>0.4375</v>
      </c>
      <c r="M21" s="6" t="str">
        <f t="shared" si="2"/>
        <v>No</v>
      </c>
      <c r="N21" s="17">
        <f t="shared" si="3"/>
        <v>450</v>
      </c>
    </row>
    <row r="22" spans="1:14" ht="15" thickBot="1" x14ac:dyDescent="0.35">
      <c r="A22" s="11">
        <f t="shared" si="4"/>
        <v>21</v>
      </c>
      <c r="B22" s="12">
        <v>45811</v>
      </c>
      <c r="C22" s="13" t="s">
        <v>14</v>
      </c>
      <c r="D22" s="14" t="s">
        <v>33</v>
      </c>
      <c r="E22" s="15" t="s">
        <v>34</v>
      </c>
      <c r="F22" s="15" t="s">
        <v>35</v>
      </c>
      <c r="G22" s="13">
        <v>300</v>
      </c>
      <c r="H22" s="13">
        <v>250</v>
      </c>
      <c r="I22" s="13">
        <v>1000</v>
      </c>
      <c r="J22" s="13">
        <v>500</v>
      </c>
      <c r="K22" s="13">
        <f t="shared" si="0"/>
        <v>750</v>
      </c>
      <c r="L22" s="16">
        <f t="shared" si="1"/>
        <v>2.5</v>
      </c>
      <c r="M22" s="6" t="str">
        <f t="shared" si="2"/>
        <v>No</v>
      </c>
      <c r="N22" s="17" t="str">
        <f t="shared" si="3"/>
        <v>Not Required</v>
      </c>
    </row>
    <row r="23" spans="1:14" ht="15" thickBot="1" x14ac:dyDescent="0.35">
      <c r="A23" s="11">
        <f t="shared" si="4"/>
        <v>22</v>
      </c>
      <c r="B23" s="12">
        <v>45812</v>
      </c>
      <c r="C23" s="13" t="s">
        <v>14</v>
      </c>
      <c r="D23" s="14" t="s">
        <v>15</v>
      </c>
      <c r="E23" s="15" t="s">
        <v>16</v>
      </c>
      <c r="F23" s="15" t="s">
        <v>17</v>
      </c>
      <c r="G23" s="13">
        <v>100</v>
      </c>
      <c r="H23" s="13">
        <v>55</v>
      </c>
      <c r="I23" s="13">
        <v>350</v>
      </c>
      <c r="J23" s="13">
        <v>180</v>
      </c>
      <c r="K23" s="13">
        <f t="shared" si="0"/>
        <v>225</v>
      </c>
      <c r="L23" s="16">
        <f t="shared" si="1"/>
        <v>2.25</v>
      </c>
      <c r="M23" s="6" t="str">
        <f t="shared" si="2"/>
        <v>No</v>
      </c>
      <c r="N23" s="17" t="str">
        <f t="shared" si="3"/>
        <v>Not Required</v>
      </c>
    </row>
    <row r="24" spans="1:14" ht="15" thickBot="1" x14ac:dyDescent="0.35">
      <c r="A24" s="11">
        <f t="shared" si="4"/>
        <v>23</v>
      </c>
      <c r="B24" s="12">
        <v>45812</v>
      </c>
      <c r="C24" s="13" t="s">
        <v>14</v>
      </c>
      <c r="D24" s="14" t="s">
        <v>18</v>
      </c>
      <c r="E24" s="15" t="s">
        <v>19</v>
      </c>
      <c r="F24" s="15" t="s">
        <v>20</v>
      </c>
      <c r="G24" s="13">
        <v>500</v>
      </c>
      <c r="H24" s="13">
        <v>150</v>
      </c>
      <c r="I24" s="13">
        <v>1000</v>
      </c>
      <c r="J24" s="13">
        <v>400</v>
      </c>
      <c r="K24" s="13">
        <f t="shared" si="0"/>
        <v>750</v>
      </c>
      <c r="L24" s="16">
        <f t="shared" si="1"/>
        <v>1.5</v>
      </c>
      <c r="M24" s="6" t="str">
        <f t="shared" si="2"/>
        <v>No</v>
      </c>
      <c r="N24" s="17" t="str">
        <f t="shared" si="3"/>
        <v>Not Required</v>
      </c>
    </row>
    <row r="25" spans="1:14" ht="15" thickBot="1" x14ac:dyDescent="0.35">
      <c r="A25" s="11">
        <f t="shared" si="4"/>
        <v>24</v>
      </c>
      <c r="B25" s="12">
        <v>45812</v>
      </c>
      <c r="C25" s="13" t="s">
        <v>14</v>
      </c>
      <c r="D25" s="14" t="s">
        <v>21</v>
      </c>
      <c r="E25" s="15" t="s">
        <v>22</v>
      </c>
      <c r="F25" s="15" t="s">
        <v>23</v>
      </c>
      <c r="G25" s="13">
        <v>1000</v>
      </c>
      <c r="H25" s="13">
        <v>350</v>
      </c>
      <c r="I25" s="13">
        <v>2000</v>
      </c>
      <c r="J25" s="13">
        <v>750</v>
      </c>
      <c r="K25" s="13">
        <f t="shared" si="0"/>
        <v>1600</v>
      </c>
      <c r="L25" s="16">
        <f t="shared" si="1"/>
        <v>1.6</v>
      </c>
      <c r="M25" s="6" t="str">
        <f t="shared" si="2"/>
        <v>No</v>
      </c>
      <c r="N25" s="17" t="str">
        <f t="shared" si="3"/>
        <v>Not Required</v>
      </c>
    </row>
    <row r="26" spans="1:14" ht="15" thickBot="1" x14ac:dyDescent="0.35">
      <c r="A26" s="11">
        <f t="shared" si="4"/>
        <v>25</v>
      </c>
      <c r="B26" s="12">
        <v>45812</v>
      </c>
      <c r="C26" s="13" t="s">
        <v>14</v>
      </c>
      <c r="D26" s="14" t="s">
        <v>24</v>
      </c>
      <c r="E26" s="15" t="s">
        <v>25</v>
      </c>
      <c r="F26" s="15" t="s">
        <v>26</v>
      </c>
      <c r="G26" s="13">
        <v>1500</v>
      </c>
      <c r="H26" s="13">
        <v>800</v>
      </c>
      <c r="I26" s="13">
        <v>2000</v>
      </c>
      <c r="J26" s="13">
        <v>900</v>
      </c>
      <c r="K26" s="13">
        <f t="shared" si="0"/>
        <v>1900</v>
      </c>
      <c r="L26" s="16">
        <f t="shared" si="1"/>
        <v>1.2666666666666666</v>
      </c>
      <c r="M26" s="6" t="str">
        <f t="shared" si="2"/>
        <v>Yes</v>
      </c>
      <c r="N26" s="17" t="str">
        <f t="shared" si="3"/>
        <v>Not Required</v>
      </c>
    </row>
    <row r="27" spans="1:14" ht="15" thickBot="1" x14ac:dyDescent="0.35">
      <c r="A27" s="11">
        <f t="shared" si="4"/>
        <v>26</v>
      </c>
      <c r="B27" s="12">
        <v>45812</v>
      </c>
      <c r="C27" s="13" t="s">
        <v>14</v>
      </c>
      <c r="D27" s="14" t="s">
        <v>27</v>
      </c>
      <c r="E27" s="15" t="s">
        <v>28</v>
      </c>
      <c r="F27" s="15" t="s">
        <v>29</v>
      </c>
      <c r="G27" s="13">
        <v>2000</v>
      </c>
      <c r="H27" s="13">
        <v>2250</v>
      </c>
      <c r="I27" s="13">
        <v>0</v>
      </c>
      <c r="J27" s="13">
        <v>1800</v>
      </c>
      <c r="K27" s="13">
        <f t="shared" si="0"/>
        <v>450</v>
      </c>
      <c r="L27" s="16">
        <f t="shared" si="1"/>
        <v>0.22500000000000001</v>
      </c>
      <c r="M27" s="6" t="str">
        <f t="shared" si="2"/>
        <v>Yes</v>
      </c>
      <c r="N27" s="17">
        <f t="shared" si="3"/>
        <v>1550</v>
      </c>
    </row>
    <row r="28" spans="1:14" ht="15" thickBot="1" x14ac:dyDescent="0.35">
      <c r="A28" s="11">
        <f t="shared" si="4"/>
        <v>27</v>
      </c>
      <c r="B28" s="12">
        <v>45812</v>
      </c>
      <c r="C28" s="13" t="s">
        <v>14</v>
      </c>
      <c r="D28" s="14" t="s">
        <v>30</v>
      </c>
      <c r="E28" s="15" t="s">
        <v>31</v>
      </c>
      <c r="F28" s="15" t="s">
        <v>32</v>
      </c>
      <c r="G28" s="13">
        <v>800</v>
      </c>
      <c r="H28" s="13">
        <v>350</v>
      </c>
      <c r="I28" s="13">
        <v>1500</v>
      </c>
      <c r="J28" s="13">
        <v>1100</v>
      </c>
      <c r="K28" s="13">
        <f t="shared" si="0"/>
        <v>750</v>
      </c>
      <c r="L28" s="16">
        <f t="shared" si="1"/>
        <v>0.9375</v>
      </c>
      <c r="M28" s="6" t="str">
        <f t="shared" si="2"/>
        <v>No</v>
      </c>
      <c r="N28" s="17">
        <f t="shared" si="3"/>
        <v>50</v>
      </c>
    </row>
    <row r="29" spans="1:14" ht="15" thickBot="1" x14ac:dyDescent="0.35">
      <c r="A29" s="11">
        <f t="shared" si="4"/>
        <v>28</v>
      </c>
      <c r="B29" s="12">
        <v>45812</v>
      </c>
      <c r="C29" s="13" t="s">
        <v>14</v>
      </c>
      <c r="D29" s="14" t="s">
        <v>33</v>
      </c>
      <c r="E29" s="15" t="s">
        <v>34</v>
      </c>
      <c r="F29" s="15" t="s">
        <v>35</v>
      </c>
      <c r="G29" s="13">
        <v>300</v>
      </c>
      <c r="H29" s="13">
        <v>750</v>
      </c>
      <c r="I29" s="13">
        <v>0</v>
      </c>
      <c r="J29" s="13">
        <v>350</v>
      </c>
      <c r="K29" s="13">
        <f t="shared" si="0"/>
        <v>400</v>
      </c>
      <c r="L29" s="16">
        <f t="shared" si="1"/>
        <v>1.3333333333333333</v>
      </c>
      <c r="M29" s="6" t="str">
        <f t="shared" si="2"/>
        <v>Yes</v>
      </c>
      <c r="N29" s="17" t="str">
        <f t="shared" si="3"/>
        <v>Not Required</v>
      </c>
    </row>
    <row r="30" spans="1:14" ht="15" thickBot="1" x14ac:dyDescent="0.35">
      <c r="A30" s="11">
        <f t="shared" si="4"/>
        <v>29</v>
      </c>
      <c r="B30" s="12">
        <v>45813</v>
      </c>
      <c r="C30" s="13" t="s">
        <v>14</v>
      </c>
      <c r="D30" s="14" t="s">
        <v>15</v>
      </c>
      <c r="E30" s="15" t="s">
        <v>16</v>
      </c>
      <c r="F30" s="15" t="s">
        <v>17</v>
      </c>
      <c r="G30" s="13">
        <v>100</v>
      </c>
      <c r="H30" s="13">
        <v>225</v>
      </c>
      <c r="I30" s="13">
        <v>0</v>
      </c>
      <c r="J30" s="13">
        <v>200</v>
      </c>
      <c r="K30" s="13">
        <f t="shared" si="0"/>
        <v>25</v>
      </c>
      <c r="L30" s="16">
        <f t="shared" si="1"/>
        <v>0.25</v>
      </c>
      <c r="M30" s="6" t="str">
        <f t="shared" si="2"/>
        <v>Yes</v>
      </c>
      <c r="N30" s="17">
        <f t="shared" si="3"/>
        <v>75</v>
      </c>
    </row>
    <row r="31" spans="1:14" ht="15" thickBot="1" x14ac:dyDescent="0.35">
      <c r="A31" s="11">
        <f t="shared" si="4"/>
        <v>30</v>
      </c>
      <c r="B31" s="12">
        <v>45813</v>
      </c>
      <c r="C31" s="13" t="s">
        <v>14</v>
      </c>
      <c r="D31" s="14" t="s">
        <v>18</v>
      </c>
      <c r="E31" s="15" t="s">
        <v>19</v>
      </c>
      <c r="F31" s="15" t="s">
        <v>20</v>
      </c>
      <c r="G31" s="13">
        <v>500</v>
      </c>
      <c r="H31" s="13">
        <v>750</v>
      </c>
      <c r="I31" s="13">
        <v>0</v>
      </c>
      <c r="J31" s="13">
        <v>450</v>
      </c>
      <c r="K31" s="13">
        <f t="shared" si="0"/>
        <v>300</v>
      </c>
      <c r="L31" s="16">
        <f t="shared" si="1"/>
        <v>0.6</v>
      </c>
      <c r="M31" s="6" t="str">
        <f t="shared" si="2"/>
        <v>Yes</v>
      </c>
      <c r="N31" s="17">
        <f t="shared" si="3"/>
        <v>200</v>
      </c>
    </row>
    <row r="32" spans="1:14" ht="15" thickBot="1" x14ac:dyDescent="0.35">
      <c r="A32" s="11">
        <f t="shared" si="4"/>
        <v>31</v>
      </c>
      <c r="B32" s="12">
        <v>45813</v>
      </c>
      <c r="C32" s="13" t="s">
        <v>14</v>
      </c>
      <c r="D32" s="14" t="s">
        <v>21</v>
      </c>
      <c r="E32" s="15" t="s">
        <v>22</v>
      </c>
      <c r="F32" s="15" t="s">
        <v>23</v>
      </c>
      <c r="G32" s="13">
        <v>1000</v>
      </c>
      <c r="H32" s="13">
        <v>1600</v>
      </c>
      <c r="I32" s="13">
        <v>0</v>
      </c>
      <c r="J32" s="13">
        <v>900</v>
      </c>
      <c r="K32" s="13">
        <f t="shared" si="0"/>
        <v>700</v>
      </c>
      <c r="L32" s="16">
        <f t="shared" si="1"/>
        <v>0.7</v>
      </c>
      <c r="M32" s="6" t="str">
        <f t="shared" si="2"/>
        <v>Yes</v>
      </c>
      <c r="N32" s="17">
        <f t="shared" si="3"/>
        <v>300</v>
      </c>
    </row>
    <row r="33" spans="1:14" ht="15" thickBot="1" x14ac:dyDescent="0.35">
      <c r="A33" s="11">
        <f t="shared" si="4"/>
        <v>32</v>
      </c>
      <c r="B33" s="12">
        <v>45813</v>
      </c>
      <c r="C33" s="13" t="s">
        <v>14</v>
      </c>
      <c r="D33" s="14" t="s">
        <v>24</v>
      </c>
      <c r="E33" s="15" t="s">
        <v>25</v>
      </c>
      <c r="F33" s="15" t="s">
        <v>26</v>
      </c>
      <c r="G33" s="13">
        <v>1500</v>
      </c>
      <c r="H33" s="13">
        <v>1900</v>
      </c>
      <c r="I33" s="13">
        <v>0</v>
      </c>
      <c r="J33" s="13">
        <v>1000</v>
      </c>
      <c r="K33" s="13">
        <f t="shared" si="0"/>
        <v>900</v>
      </c>
      <c r="L33" s="16">
        <f t="shared" si="1"/>
        <v>0.6</v>
      </c>
      <c r="M33" s="6" t="str">
        <f t="shared" si="2"/>
        <v>No</v>
      </c>
      <c r="N33" s="17">
        <f t="shared" si="3"/>
        <v>600</v>
      </c>
    </row>
    <row r="34" spans="1:14" ht="15" thickBot="1" x14ac:dyDescent="0.35">
      <c r="A34" s="11">
        <f t="shared" si="4"/>
        <v>33</v>
      </c>
      <c r="B34" s="12">
        <v>45813</v>
      </c>
      <c r="C34" s="13" t="s">
        <v>14</v>
      </c>
      <c r="D34" s="14" t="s">
        <v>27</v>
      </c>
      <c r="E34" s="15" t="s">
        <v>28</v>
      </c>
      <c r="F34" s="15" t="s">
        <v>29</v>
      </c>
      <c r="G34" s="13">
        <v>2000</v>
      </c>
      <c r="H34" s="13">
        <v>450</v>
      </c>
      <c r="I34" s="13">
        <v>5000</v>
      </c>
      <c r="J34" s="13">
        <v>2000</v>
      </c>
      <c r="K34" s="13">
        <f t="shared" si="0"/>
        <v>3450</v>
      </c>
      <c r="L34" s="16">
        <f t="shared" si="1"/>
        <v>1.7250000000000001</v>
      </c>
      <c r="M34" s="6" t="str">
        <f t="shared" si="2"/>
        <v>Yes</v>
      </c>
      <c r="N34" s="17" t="str">
        <f t="shared" si="3"/>
        <v>Not Required</v>
      </c>
    </row>
    <row r="35" spans="1:14" ht="15" thickBot="1" x14ac:dyDescent="0.35">
      <c r="A35" s="11">
        <f t="shared" si="4"/>
        <v>34</v>
      </c>
      <c r="B35" s="12">
        <v>45813</v>
      </c>
      <c r="C35" s="13" t="s">
        <v>14</v>
      </c>
      <c r="D35" s="14" t="s">
        <v>30</v>
      </c>
      <c r="E35" s="15" t="s">
        <v>31</v>
      </c>
      <c r="F35" s="15" t="s">
        <v>32</v>
      </c>
      <c r="G35" s="13">
        <v>800</v>
      </c>
      <c r="H35" s="13">
        <v>750</v>
      </c>
      <c r="I35" s="13">
        <v>500</v>
      </c>
      <c r="J35" s="13">
        <v>500</v>
      </c>
      <c r="K35" s="13">
        <f t="shared" si="0"/>
        <v>750</v>
      </c>
      <c r="L35" s="16">
        <f t="shared" si="1"/>
        <v>0.9375</v>
      </c>
      <c r="M35" s="6" t="str">
        <f t="shared" si="2"/>
        <v>Yes</v>
      </c>
      <c r="N35" s="17">
        <f t="shared" si="3"/>
        <v>50</v>
      </c>
    </row>
    <row r="36" spans="1:14" ht="15" thickBot="1" x14ac:dyDescent="0.35">
      <c r="A36" s="18">
        <f t="shared" si="4"/>
        <v>35</v>
      </c>
      <c r="B36" s="19">
        <v>45813</v>
      </c>
      <c r="C36" s="20" t="s">
        <v>14</v>
      </c>
      <c r="D36" s="21" t="s">
        <v>33</v>
      </c>
      <c r="E36" s="22" t="s">
        <v>34</v>
      </c>
      <c r="F36" s="22" t="s">
        <v>35</v>
      </c>
      <c r="G36" s="20">
        <v>300</v>
      </c>
      <c r="H36" s="20">
        <v>400</v>
      </c>
      <c r="I36" s="20">
        <v>0</v>
      </c>
      <c r="J36" s="20">
        <v>250</v>
      </c>
      <c r="K36" s="20">
        <f t="shared" si="0"/>
        <v>150</v>
      </c>
      <c r="L36" s="23">
        <f t="shared" si="1"/>
        <v>0.5</v>
      </c>
      <c r="M36" s="6" t="str">
        <f t="shared" si="2"/>
        <v>No</v>
      </c>
      <c r="N36" s="24">
        <f t="shared" si="3"/>
        <v>150</v>
      </c>
    </row>
  </sheetData>
  <conditionalFormatting sqref="A2:N36">
    <cfRule type="expression" dxfId="6" priority="5">
      <formula>$M2=$M$2</formula>
    </cfRule>
  </conditionalFormatting>
  <conditionalFormatting sqref="L2:L36">
    <cfRule type="cellIs" dxfId="5" priority="6" operator="lessThan">
      <formula>1</formula>
    </cfRule>
    <cfRule type="cellIs" dxfId="4" priority="7" operator="greaterThan">
      <formula>1</formula>
    </cfRule>
  </conditionalFormatting>
  <conditionalFormatting sqref="M1:M36">
    <cfRule type="cellIs" dxfId="3" priority="1" operator="equal">
      <formula>"No"</formula>
    </cfRule>
    <cfRule type="cellIs" dxfId="2" priority="2" operator="equal">
      <formula>"="</formula>
    </cfRule>
    <cfRule type="cellIs" dxfId="1" priority="3" operator="equal">
      <formula>"No"</formula>
    </cfRule>
  </conditionalFormatting>
  <conditionalFormatting sqref="M2:M36">
    <cfRule type="cellIs" dxfId="0" priority="4" operator="equal">
      <formula>$M$2="No"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3F1F-EBCC-44AC-BF78-4AF7C086D00B}">
  <dimension ref="A1:N46"/>
  <sheetViews>
    <sheetView showGridLines="0" workbookViewId="0">
      <selection activeCell="E14" sqref="E14"/>
    </sheetView>
  </sheetViews>
  <sheetFormatPr defaultRowHeight="14.4" x14ac:dyDescent="0.3"/>
  <cols>
    <col min="1" max="1" width="6.6640625" bestFit="1" customWidth="1"/>
    <col min="2" max="2" width="10.44140625" bestFit="1" customWidth="1"/>
    <col min="3" max="4" width="16.6640625" bestFit="1" customWidth="1"/>
    <col min="5" max="5" width="28.33203125" bestFit="1" customWidth="1"/>
    <col min="6" max="6" width="24.88671875" customWidth="1"/>
    <col min="7" max="7" width="29.88671875" bestFit="1" customWidth="1"/>
    <col min="8" max="8" width="23" bestFit="1" customWidth="1"/>
    <col min="9" max="9" width="15.44140625" bestFit="1" customWidth="1"/>
    <col min="10" max="10" width="17" bestFit="1" customWidth="1"/>
    <col min="11" max="11" width="22.33203125" bestFit="1" customWidth="1"/>
    <col min="12" max="12" width="12.33203125" bestFit="1" customWidth="1"/>
    <col min="13" max="13" width="17.33203125" bestFit="1" customWidth="1"/>
    <col min="14" max="14" width="31" bestFit="1" customWidth="1"/>
  </cols>
  <sheetData>
    <row r="1" spans="1:14" ht="15" thickBot="1" x14ac:dyDescent="0.35">
      <c r="A1" s="25" t="s">
        <v>0</v>
      </c>
      <c r="B1" s="26" t="s">
        <v>1</v>
      </c>
      <c r="C1" s="26" t="s">
        <v>2</v>
      </c>
      <c r="D1" s="26" t="s">
        <v>3</v>
      </c>
      <c r="E1" s="26" t="s">
        <v>4</v>
      </c>
      <c r="F1" s="26" t="s">
        <v>5</v>
      </c>
      <c r="G1" s="26" t="s">
        <v>6</v>
      </c>
      <c r="H1" s="26" t="s">
        <v>7</v>
      </c>
      <c r="I1" s="26" t="s">
        <v>8</v>
      </c>
      <c r="J1" s="26" t="s">
        <v>9</v>
      </c>
      <c r="K1" s="26" t="s">
        <v>10</v>
      </c>
      <c r="L1" s="26" t="s">
        <v>11</v>
      </c>
      <c r="M1" s="26" t="s">
        <v>12</v>
      </c>
      <c r="N1" s="27" t="s">
        <v>13</v>
      </c>
    </row>
    <row r="2" spans="1:14" x14ac:dyDescent="0.3">
      <c r="A2" s="4">
        <v>1</v>
      </c>
      <c r="B2" s="5">
        <v>45809</v>
      </c>
      <c r="C2" s="6" t="s">
        <v>14</v>
      </c>
      <c r="D2" s="7" t="s">
        <v>15</v>
      </c>
      <c r="E2" s="8" t="s">
        <v>16</v>
      </c>
      <c r="F2" s="8" t="s">
        <v>17</v>
      </c>
      <c r="G2" s="6">
        <v>100</v>
      </c>
      <c r="H2" s="6">
        <v>50</v>
      </c>
      <c r="I2" s="6">
        <v>100</v>
      </c>
      <c r="J2" s="6">
        <v>75</v>
      </c>
      <c r="K2" s="6">
        <f>(H2+I2)-J2</f>
        <v>75</v>
      </c>
      <c r="L2" s="9">
        <f>K2/G2</f>
        <v>0.75</v>
      </c>
      <c r="M2" s="6" t="str">
        <f>IF(AND(K2&lt;G2,L2&lt;100%),"Yes","No")</f>
        <v>Yes</v>
      </c>
      <c r="N2" s="10">
        <f>IF(OR(K2&lt;G2,L2&lt;100%),(G2-K2),"Not Required")</f>
        <v>25</v>
      </c>
    </row>
    <row r="3" spans="1:14" x14ac:dyDescent="0.3">
      <c r="A3" s="11">
        <v>2</v>
      </c>
      <c r="B3" s="12">
        <v>45809</v>
      </c>
      <c r="C3" s="13" t="s">
        <v>14</v>
      </c>
      <c r="D3" s="14" t="s">
        <v>18</v>
      </c>
      <c r="E3" s="15" t="s">
        <v>19</v>
      </c>
      <c r="F3" s="15" t="s">
        <v>36</v>
      </c>
      <c r="G3" s="13">
        <v>500</v>
      </c>
      <c r="H3" s="13">
        <v>650</v>
      </c>
      <c r="I3" s="13">
        <v>150</v>
      </c>
      <c r="J3" s="13">
        <v>400</v>
      </c>
      <c r="K3" s="13">
        <f t="shared" ref="K3:K46" si="0">(H3+I3)-J3</f>
        <v>400</v>
      </c>
      <c r="L3" s="16">
        <f t="shared" ref="L3:L46" si="1">K3/G3</f>
        <v>0.8</v>
      </c>
      <c r="M3" s="13" t="str">
        <f t="shared" ref="M3:M46" si="2">IF(AND(K3&lt;G3,L3&lt;100%),"Yes","No")</f>
        <v>Yes</v>
      </c>
      <c r="N3" s="17">
        <f t="shared" ref="N3:N46" si="3">IF(OR(K3&lt;G3,L3&lt;100%),(G3-K3),"Not Required")</f>
        <v>100</v>
      </c>
    </row>
    <row r="4" spans="1:14" x14ac:dyDescent="0.3">
      <c r="A4" s="11"/>
      <c r="B4" s="12"/>
      <c r="C4" s="13"/>
      <c r="D4" s="14"/>
      <c r="E4" s="15"/>
      <c r="F4" s="15"/>
      <c r="G4" s="13"/>
      <c r="H4" s="13"/>
      <c r="I4" s="13"/>
      <c r="J4" s="13"/>
      <c r="K4" s="13"/>
      <c r="L4" s="16"/>
      <c r="M4" s="13"/>
      <c r="N4" s="17"/>
    </row>
    <row r="5" spans="1:14" x14ac:dyDescent="0.3">
      <c r="A5" s="11">
        <v>3</v>
      </c>
      <c r="B5" s="12">
        <v>45809</v>
      </c>
      <c r="C5" s="13" t="s">
        <v>14</v>
      </c>
      <c r="D5" s="14" t="s">
        <v>21</v>
      </c>
      <c r="E5" s="15" t="s">
        <v>22</v>
      </c>
      <c r="F5" s="15" t="s">
        <v>23</v>
      </c>
      <c r="G5" s="13">
        <v>1000</v>
      </c>
      <c r="H5" s="13">
        <v>650</v>
      </c>
      <c r="I5" s="13">
        <v>500</v>
      </c>
      <c r="J5" s="28">
        <v>600</v>
      </c>
      <c r="K5" s="13">
        <f t="shared" si="0"/>
        <v>550</v>
      </c>
      <c r="L5" s="16">
        <f t="shared" si="1"/>
        <v>0.55000000000000004</v>
      </c>
      <c r="M5" s="13" t="str">
        <f t="shared" si="2"/>
        <v>Yes</v>
      </c>
      <c r="N5" s="17">
        <f t="shared" si="3"/>
        <v>450</v>
      </c>
    </row>
    <row r="6" spans="1:14" x14ac:dyDescent="0.3">
      <c r="A6" s="11">
        <v>4</v>
      </c>
      <c r="B6" s="12">
        <v>45809</v>
      </c>
      <c r="C6" s="13"/>
      <c r="D6" s="14" t="s">
        <v>24</v>
      </c>
      <c r="E6" s="15" t="s">
        <v>25</v>
      </c>
      <c r="F6" s="15" t="s">
        <v>26</v>
      </c>
      <c r="G6" s="13">
        <v>1500</v>
      </c>
      <c r="H6" s="13">
        <v>1500</v>
      </c>
      <c r="I6" s="13">
        <v>0</v>
      </c>
      <c r="J6" s="28">
        <v>900</v>
      </c>
      <c r="K6" s="13">
        <f t="shared" si="0"/>
        <v>600</v>
      </c>
      <c r="L6" s="16">
        <f t="shared" si="1"/>
        <v>0.4</v>
      </c>
      <c r="M6" s="13" t="str">
        <f t="shared" si="2"/>
        <v>Yes</v>
      </c>
      <c r="N6" s="17">
        <f t="shared" si="3"/>
        <v>900</v>
      </c>
    </row>
    <row r="7" spans="1:14" x14ac:dyDescent="0.3">
      <c r="A7" s="11">
        <v>5</v>
      </c>
      <c r="B7" s="12">
        <v>45809</v>
      </c>
      <c r="C7" s="13" t="s">
        <v>14</v>
      </c>
      <c r="D7" s="14" t="s">
        <v>27</v>
      </c>
      <c r="E7" s="15" t="s">
        <v>28</v>
      </c>
      <c r="F7" s="15" t="s">
        <v>29</v>
      </c>
      <c r="G7" s="13">
        <v>2000</v>
      </c>
      <c r="H7" s="13">
        <v>1500</v>
      </c>
      <c r="I7" s="13">
        <v>1000</v>
      </c>
      <c r="J7" s="28">
        <v>750</v>
      </c>
      <c r="K7" s="13">
        <f t="shared" si="0"/>
        <v>1750</v>
      </c>
      <c r="L7" s="16">
        <f t="shared" si="1"/>
        <v>0.875</v>
      </c>
      <c r="M7" s="13" t="str">
        <f t="shared" si="2"/>
        <v>Yes</v>
      </c>
      <c r="N7" s="17">
        <f t="shared" si="3"/>
        <v>250</v>
      </c>
    </row>
    <row r="8" spans="1:14" x14ac:dyDescent="0.3">
      <c r="A8" s="11"/>
      <c r="B8" s="12"/>
      <c r="C8" s="13"/>
      <c r="D8" s="14"/>
      <c r="E8" s="15"/>
      <c r="F8" s="15"/>
      <c r="G8" s="13"/>
      <c r="H8" s="13"/>
      <c r="I8" s="13"/>
      <c r="J8" s="13"/>
      <c r="K8" s="13"/>
      <c r="L8" s="16"/>
      <c r="M8" s="13"/>
      <c r="N8" s="17"/>
    </row>
    <row r="9" spans="1:14" x14ac:dyDescent="0.3">
      <c r="A9" s="11">
        <v>6</v>
      </c>
      <c r="B9" s="12">
        <v>45809</v>
      </c>
      <c r="C9" s="13" t="s">
        <v>14</v>
      </c>
      <c r="D9" s="14" t="s">
        <v>30</v>
      </c>
      <c r="E9" s="15" t="s">
        <v>31</v>
      </c>
      <c r="F9" s="15" t="s">
        <v>32</v>
      </c>
      <c r="G9" s="13">
        <v>800</v>
      </c>
      <c r="H9" s="13">
        <v>1000</v>
      </c>
      <c r="I9" s="13">
        <v>0</v>
      </c>
      <c r="J9" s="13">
        <v>750</v>
      </c>
      <c r="K9" s="13">
        <f t="shared" si="0"/>
        <v>250</v>
      </c>
      <c r="L9" s="16">
        <f t="shared" si="1"/>
        <v>0.3125</v>
      </c>
      <c r="M9" s="13" t="str">
        <f t="shared" si="2"/>
        <v>Yes</v>
      </c>
      <c r="N9" s="17">
        <f t="shared" si="3"/>
        <v>550</v>
      </c>
    </row>
    <row r="10" spans="1:14" x14ac:dyDescent="0.3">
      <c r="A10" s="11">
        <v>6</v>
      </c>
      <c r="B10" s="12">
        <v>45809</v>
      </c>
      <c r="C10" s="13" t="s">
        <v>14</v>
      </c>
      <c r="D10" s="14" t="s">
        <v>30</v>
      </c>
      <c r="E10" s="15" t="s">
        <v>31</v>
      </c>
      <c r="F10" s="15" t="s">
        <v>32</v>
      </c>
      <c r="G10" s="13">
        <v>800</v>
      </c>
      <c r="H10" s="13">
        <v>1000</v>
      </c>
      <c r="I10" s="13">
        <v>0</v>
      </c>
      <c r="J10" s="13">
        <v>750</v>
      </c>
      <c r="K10" s="13">
        <f t="shared" si="0"/>
        <v>250</v>
      </c>
      <c r="L10" s="16">
        <f t="shared" si="1"/>
        <v>0.3125</v>
      </c>
      <c r="M10" s="13" t="str">
        <f t="shared" si="2"/>
        <v>Yes</v>
      </c>
      <c r="N10" s="17">
        <f t="shared" si="3"/>
        <v>550</v>
      </c>
    </row>
    <row r="11" spans="1:14" x14ac:dyDescent="0.3">
      <c r="A11" s="11">
        <v>7</v>
      </c>
      <c r="B11" s="12">
        <v>45809</v>
      </c>
      <c r="C11" s="13" t="s">
        <v>14</v>
      </c>
      <c r="D11" s="14" t="s">
        <v>33</v>
      </c>
      <c r="E11" s="15" t="s">
        <v>34</v>
      </c>
      <c r="F11" s="15" t="s">
        <v>35</v>
      </c>
      <c r="G11" s="13">
        <v>300</v>
      </c>
      <c r="H11" s="13">
        <v>250</v>
      </c>
      <c r="I11" s="13">
        <v>250</v>
      </c>
      <c r="J11" s="13">
        <v>300</v>
      </c>
      <c r="K11" s="13">
        <f t="shared" si="0"/>
        <v>200</v>
      </c>
      <c r="L11" s="16">
        <f t="shared" si="1"/>
        <v>0.66666666666666663</v>
      </c>
      <c r="M11" s="13" t="str">
        <f t="shared" si="2"/>
        <v>Yes</v>
      </c>
      <c r="N11" s="17">
        <f t="shared" si="3"/>
        <v>100</v>
      </c>
    </row>
    <row r="12" spans="1:14" x14ac:dyDescent="0.3">
      <c r="A12" s="11">
        <v>8</v>
      </c>
      <c r="B12" s="12">
        <v>45810</v>
      </c>
      <c r="C12" s="13" t="s">
        <v>14</v>
      </c>
      <c r="D12" s="14" t="s">
        <v>15</v>
      </c>
      <c r="E12" s="15" t="s">
        <v>16</v>
      </c>
      <c r="F12" s="15" t="s">
        <v>17</v>
      </c>
      <c r="G12" s="13">
        <v>100</v>
      </c>
      <c r="H12" s="13">
        <v>75</v>
      </c>
      <c r="I12" s="13">
        <v>200</v>
      </c>
      <c r="J12" s="13">
        <v>50</v>
      </c>
      <c r="K12" s="13">
        <f t="shared" si="0"/>
        <v>225</v>
      </c>
      <c r="L12" s="16">
        <f t="shared" si="1"/>
        <v>2.25</v>
      </c>
      <c r="M12" s="13" t="str">
        <f t="shared" si="2"/>
        <v>No</v>
      </c>
      <c r="N12" s="17" t="str">
        <f t="shared" si="3"/>
        <v>Not Required</v>
      </c>
    </row>
    <row r="13" spans="1:14" x14ac:dyDescent="0.3">
      <c r="A13" s="11"/>
      <c r="B13" s="12"/>
      <c r="C13" s="13"/>
      <c r="D13" s="14"/>
      <c r="E13" s="15"/>
      <c r="F13" s="15"/>
      <c r="G13" s="13"/>
      <c r="H13" s="13"/>
      <c r="I13" s="13"/>
      <c r="J13" s="13"/>
      <c r="K13" s="13"/>
      <c r="L13" s="16"/>
      <c r="M13" s="13"/>
      <c r="N13" s="17"/>
    </row>
    <row r="14" spans="1:14" x14ac:dyDescent="0.3">
      <c r="A14" s="11">
        <v>9</v>
      </c>
      <c r="B14" s="13">
        <v>45810</v>
      </c>
      <c r="C14" s="13" t="s">
        <v>14</v>
      </c>
      <c r="D14" s="14" t="s">
        <v>18</v>
      </c>
      <c r="E14" s="15" t="s">
        <v>19</v>
      </c>
      <c r="F14" s="15" t="s">
        <v>20</v>
      </c>
      <c r="G14" s="13">
        <v>500</v>
      </c>
      <c r="H14" s="13">
        <v>400</v>
      </c>
      <c r="I14" s="13">
        <v>500</v>
      </c>
      <c r="J14" s="13">
        <v>350</v>
      </c>
      <c r="K14" s="13">
        <f t="shared" si="0"/>
        <v>550</v>
      </c>
      <c r="L14" s="29">
        <f t="shared" si="1"/>
        <v>1.1000000000000001</v>
      </c>
      <c r="M14" s="13" t="str">
        <f t="shared" si="2"/>
        <v>No</v>
      </c>
      <c r="N14" s="17" t="str">
        <f t="shared" si="3"/>
        <v>Not Required</v>
      </c>
    </row>
    <row r="15" spans="1:14" x14ac:dyDescent="0.3">
      <c r="A15" s="11">
        <v>10</v>
      </c>
      <c r="B15" s="13">
        <v>45810</v>
      </c>
      <c r="C15" s="13" t="s">
        <v>37</v>
      </c>
      <c r="D15" s="14" t="s">
        <v>21</v>
      </c>
      <c r="E15" s="15" t="s">
        <v>22</v>
      </c>
      <c r="F15" s="15" t="s">
        <v>23</v>
      </c>
      <c r="G15" s="13">
        <v>1000</v>
      </c>
      <c r="H15" s="13">
        <v>550</v>
      </c>
      <c r="I15" s="13">
        <v>1500</v>
      </c>
      <c r="J15" s="13">
        <v>900</v>
      </c>
      <c r="K15" s="13">
        <f t="shared" si="0"/>
        <v>1150</v>
      </c>
      <c r="L15" s="29">
        <f t="shared" si="1"/>
        <v>1.1499999999999999</v>
      </c>
      <c r="M15" s="13" t="str">
        <f t="shared" si="2"/>
        <v>No</v>
      </c>
      <c r="N15" s="17" t="str">
        <f t="shared" si="3"/>
        <v>Not Required</v>
      </c>
    </row>
    <row r="16" spans="1:14" x14ac:dyDescent="0.3">
      <c r="A16" s="11">
        <v>11</v>
      </c>
      <c r="B16" s="13">
        <v>45810</v>
      </c>
      <c r="C16" s="13"/>
      <c r="D16" s="14" t="s">
        <v>24</v>
      </c>
      <c r="E16" s="15" t="s">
        <v>25</v>
      </c>
      <c r="F16" s="15" t="s">
        <v>26</v>
      </c>
      <c r="G16" s="13">
        <v>1500</v>
      </c>
      <c r="H16" s="13">
        <v>600</v>
      </c>
      <c r="I16" s="13">
        <v>2500</v>
      </c>
      <c r="J16" s="13">
        <v>1500</v>
      </c>
      <c r="K16" s="13">
        <f t="shared" si="0"/>
        <v>1600</v>
      </c>
      <c r="L16" s="29">
        <f t="shared" si="1"/>
        <v>1.0666666666666667</v>
      </c>
      <c r="M16" s="13" t="str">
        <f t="shared" si="2"/>
        <v>No</v>
      </c>
      <c r="N16" s="17" t="str">
        <f t="shared" si="3"/>
        <v>Not Required</v>
      </c>
    </row>
    <row r="17" spans="1:14" x14ac:dyDescent="0.3">
      <c r="A17" s="11">
        <v>12</v>
      </c>
      <c r="B17" s="13">
        <v>45810</v>
      </c>
      <c r="C17" s="13" t="s">
        <v>14</v>
      </c>
      <c r="D17" s="14" t="s">
        <v>27</v>
      </c>
      <c r="E17" s="15" t="s">
        <v>28</v>
      </c>
      <c r="F17" s="15" t="s">
        <v>29</v>
      </c>
      <c r="G17" s="13">
        <v>2000</v>
      </c>
      <c r="H17" s="13">
        <v>1750</v>
      </c>
      <c r="I17" s="13">
        <v>3000</v>
      </c>
      <c r="J17" s="13">
        <v>1000</v>
      </c>
      <c r="K17" s="13">
        <f t="shared" si="0"/>
        <v>3750</v>
      </c>
      <c r="L17" s="29">
        <f t="shared" si="1"/>
        <v>1.875</v>
      </c>
      <c r="M17" s="13" t="str">
        <f t="shared" si="2"/>
        <v>No</v>
      </c>
      <c r="N17" s="17" t="str">
        <f t="shared" si="3"/>
        <v>Not Required</v>
      </c>
    </row>
    <row r="18" spans="1:14" x14ac:dyDescent="0.3">
      <c r="A18" s="11">
        <v>12</v>
      </c>
      <c r="B18" s="13">
        <v>45810</v>
      </c>
      <c r="C18" s="13" t="s">
        <v>14</v>
      </c>
      <c r="D18" s="14" t="s">
        <v>27</v>
      </c>
      <c r="E18" s="15" t="s">
        <v>28</v>
      </c>
      <c r="F18" s="15" t="s">
        <v>29</v>
      </c>
      <c r="G18" s="13">
        <v>2000</v>
      </c>
      <c r="H18" s="13">
        <v>1750</v>
      </c>
      <c r="I18" s="13">
        <v>3000</v>
      </c>
      <c r="J18" s="13">
        <v>1000</v>
      </c>
      <c r="K18" s="13">
        <f t="shared" si="0"/>
        <v>3750</v>
      </c>
      <c r="L18" s="29">
        <f t="shared" si="1"/>
        <v>1.875</v>
      </c>
      <c r="M18" s="13" t="str">
        <f t="shared" si="2"/>
        <v>No</v>
      </c>
      <c r="N18" s="17" t="str">
        <f t="shared" si="3"/>
        <v>Not Required</v>
      </c>
    </row>
    <row r="19" spans="1:14" x14ac:dyDescent="0.3">
      <c r="A19" s="11">
        <v>13</v>
      </c>
      <c r="B19" s="13">
        <v>45810</v>
      </c>
      <c r="C19" s="13" t="s">
        <v>14</v>
      </c>
      <c r="D19" s="14" t="s">
        <v>30</v>
      </c>
      <c r="E19" s="15" t="s">
        <v>31</v>
      </c>
      <c r="F19" s="15" t="s">
        <v>32</v>
      </c>
      <c r="G19" s="13">
        <v>800</v>
      </c>
      <c r="H19" s="13">
        <v>250</v>
      </c>
      <c r="I19" s="13">
        <v>2000</v>
      </c>
      <c r="J19" s="13">
        <v>1400</v>
      </c>
      <c r="K19" s="13">
        <f t="shared" si="0"/>
        <v>850</v>
      </c>
      <c r="L19" s="29">
        <f t="shared" si="1"/>
        <v>1.0625</v>
      </c>
      <c r="M19" s="13" t="str">
        <f t="shared" si="2"/>
        <v>No</v>
      </c>
      <c r="N19" s="17" t="str">
        <f t="shared" si="3"/>
        <v>Not Required</v>
      </c>
    </row>
    <row r="20" spans="1:14" x14ac:dyDescent="0.3">
      <c r="A20" s="11"/>
      <c r="B20" s="12"/>
      <c r="C20" s="13"/>
      <c r="D20" s="14"/>
      <c r="E20" s="15"/>
      <c r="F20" s="15"/>
      <c r="G20" s="13"/>
      <c r="H20" s="13"/>
      <c r="I20" s="13"/>
      <c r="J20" s="13"/>
      <c r="K20" s="13"/>
      <c r="L20" s="16"/>
      <c r="M20" s="13"/>
      <c r="N20" s="17"/>
    </row>
    <row r="21" spans="1:14" x14ac:dyDescent="0.3">
      <c r="A21" s="11">
        <v>14</v>
      </c>
      <c r="B21" s="12">
        <v>45810</v>
      </c>
      <c r="C21" s="13" t="s">
        <v>14</v>
      </c>
      <c r="D21" s="14" t="s">
        <v>33</v>
      </c>
      <c r="E21" s="15" t="s">
        <v>34</v>
      </c>
      <c r="F21" s="15" t="s">
        <v>35</v>
      </c>
      <c r="G21" s="13">
        <v>300</v>
      </c>
      <c r="H21" s="13">
        <v>200</v>
      </c>
      <c r="I21" s="13">
        <v>500</v>
      </c>
      <c r="J21" s="13">
        <v>450</v>
      </c>
      <c r="K21" s="13">
        <f t="shared" si="0"/>
        <v>250</v>
      </c>
      <c r="L21" s="16">
        <f t="shared" si="1"/>
        <v>0.83333333333333337</v>
      </c>
      <c r="M21" s="13" t="str">
        <f t="shared" si="2"/>
        <v>Yes</v>
      </c>
      <c r="N21" s="17">
        <f t="shared" si="3"/>
        <v>50</v>
      </c>
    </row>
    <row r="22" spans="1:14" x14ac:dyDescent="0.3">
      <c r="A22" s="11">
        <v>15</v>
      </c>
      <c r="B22" s="12">
        <v>45811</v>
      </c>
      <c r="C22" s="13" t="s">
        <v>37</v>
      </c>
      <c r="D22" s="14" t="s">
        <v>15</v>
      </c>
      <c r="E22" s="15" t="s">
        <v>16</v>
      </c>
      <c r="F22" s="15" t="s">
        <v>17</v>
      </c>
      <c r="G22" s="13">
        <v>100</v>
      </c>
      <c r="H22" s="13">
        <v>225</v>
      </c>
      <c r="I22" s="13">
        <v>0</v>
      </c>
      <c r="J22" s="13">
        <v>170</v>
      </c>
      <c r="K22" s="13">
        <f t="shared" si="0"/>
        <v>55</v>
      </c>
      <c r="L22" s="16">
        <f t="shared" si="1"/>
        <v>0.55000000000000004</v>
      </c>
      <c r="M22" s="13" t="str">
        <f t="shared" si="2"/>
        <v>Yes</v>
      </c>
      <c r="N22" s="17">
        <f t="shared" si="3"/>
        <v>45</v>
      </c>
    </row>
    <row r="23" spans="1:14" x14ac:dyDescent="0.3">
      <c r="A23" s="11">
        <v>16</v>
      </c>
      <c r="B23" s="12">
        <v>45811</v>
      </c>
      <c r="C23" s="13"/>
      <c r="D23" s="14" t="s">
        <v>18</v>
      </c>
      <c r="E23" s="15" t="s">
        <v>19</v>
      </c>
      <c r="F23" s="15" t="s">
        <v>20</v>
      </c>
      <c r="G23" s="13">
        <v>500</v>
      </c>
      <c r="H23" s="13">
        <v>550</v>
      </c>
      <c r="I23" s="13">
        <v>0</v>
      </c>
      <c r="J23" s="13">
        <v>400</v>
      </c>
      <c r="K23" s="13">
        <f t="shared" si="0"/>
        <v>150</v>
      </c>
      <c r="L23" s="16">
        <f t="shared" si="1"/>
        <v>0.3</v>
      </c>
      <c r="M23" s="13" t="str">
        <f t="shared" si="2"/>
        <v>Yes</v>
      </c>
      <c r="N23" s="17">
        <f t="shared" si="3"/>
        <v>350</v>
      </c>
    </row>
    <row r="24" spans="1:14" x14ac:dyDescent="0.3">
      <c r="A24" s="11">
        <v>17</v>
      </c>
      <c r="B24" s="12">
        <v>45811</v>
      </c>
      <c r="C24" s="13" t="s">
        <v>14</v>
      </c>
      <c r="D24" s="14" t="s">
        <v>21</v>
      </c>
      <c r="E24" s="15" t="s">
        <v>22</v>
      </c>
      <c r="F24" s="15" t="s">
        <v>23</v>
      </c>
      <c r="G24" s="13">
        <v>1000</v>
      </c>
      <c r="H24" s="13">
        <v>1150</v>
      </c>
      <c r="I24" s="13">
        <v>0</v>
      </c>
      <c r="J24" s="13">
        <v>800</v>
      </c>
      <c r="K24" s="13">
        <f t="shared" si="0"/>
        <v>350</v>
      </c>
      <c r="L24" s="16">
        <f t="shared" si="1"/>
        <v>0.35</v>
      </c>
      <c r="M24" s="13" t="str">
        <f t="shared" si="2"/>
        <v>Yes</v>
      </c>
      <c r="N24" s="17">
        <f t="shared" si="3"/>
        <v>650</v>
      </c>
    </row>
    <row r="25" spans="1:14" x14ac:dyDescent="0.3">
      <c r="A25" s="11">
        <v>17</v>
      </c>
      <c r="B25" s="12">
        <v>45811</v>
      </c>
      <c r="C25" s="13" t="s">
        <v>14</v>
      </c>
      <c r="D25" s="14" t="s">
        <v>21</v>
      </c>
      <c r="E25" s="15" t="s">
        <v>22</v>
      </c>
      <c r="F25" s="15" t="s">
        <v>23</v>
      </c>
      <c r="G25" s="13">
        <v>1000</v>
      </c>
      <c r="H25" s="13">
        <v>1150</v>
      </c>
      <c r="I25" s="13">
        <v>0</v>
      </c>
      <c r="J25" s="13">
        <v>800</v>
      </c>
      <c r="K25" s="13">
        <f t="shared" si="0"/>
        <v>350</v>
      </c>
      <c r="L25" s="16">
        <f t="shared" si="1"/>
        <v>0.35</v>
      </c>
      <c r="M25" s="13" t="str">
        <f t="shared" si="2"/>
        <v>Yes</v>
      </c>
      <c r="N25" s="17">
        <f t="shared" si="3"/>
        <v>650</v>
      </c>
    </row>
    <row r="26" spans="1:14" x14ac:dyDescent="0.3">
      <c r="A26" s="11">
        <v>18</v>
      </c>
      <c r="B26" s="12">
        <v>45811</v>
      </c>
      <c r="C26" s="13" t="s">
        <v>14</v>
      </c>
      <c r="D26" s="14" t="s">
        <v>24</v>
      </c>
      <c r="E26" s="15" t="s">
        <v>25</v>
      </c>
      <c r="F26" s="15" t="s">
        <v>26</v>
      </c>
      <c r="G26" s="13">
        <v>1500</v>
      </c>
      <c r="H26" s="13">
        <v>1600</v>
      </c>
      <c r="I26" s="13">
        <v>0</v>
      </c>
      <c r="J26" s="13">
        <v>800</v>
      </c>
      <c r="K26" s="13">
        <f t="shared" si="0"/>
        <v>800</v>
      </c>
      <c r="L26" s="16">
        <f t="shared" si="1"/>
        <v>0.53333333333333333</v>
      </c>
      <c r="M26" s="13" t="str">
        <f t="shared" si="2"/>
        <v>Yes</v>
      </c>
      <c r="N26" s="17">
        <f t="shared" si="3"/>
        <v>700</v>
      </c>
    </row>
    <row r="27" spans="1:14" x14ac:dyDescent="0.3">
      <c r="A27" s="11">
        <v>19</v>
      </c>
      <c r="B27" s="12">
        <v>45811</v>
      </c>
      <c r="C27" s="13" t="s">
        <v>14</v>
      </c>
      <c r="D27" s="14" t="s">
        <v>27</v>
      </c>
      <c r="E27" s="15" t="s">
        <v>28</v>
      </c>
      <c r="F27" s="15" t="s">
        <v>29</v>
      </c>
      <c r="G27" s="13">
        <v>2000</v>
      </c>
      <c r="H27" s="13">
        <v>3750</v>
      </c>
      <c r="I27" s="13">
        <v>0</v>
      </c>
      <c r="J27" s="13">
        <v>1500</v>
      </c>
      <c r="K27" s="13">
        <f t="shared" si="0"/>
        <v>2250</v>
      </c>
      <c r="L27" s="16">
        <f t="shared" si="1"/>
        <v>1.125</v>
      </c>
      <c r="M27" s="13" t="str">
        <f t="shared" si="2"/>
        <v>No</v>
      </c>
      <c r="N27" s="17" t="str">
        <f t="shared" si="3"/>
        <v>Not Required</v>
      </c>
    </row>
    <row r="28" spans="1:14" x14ac:dyDescent="0.3">
      <c r="A28" s="11"/>
      <c r="B28" s="12"/>
      <c r="C28" s="13"/>
      <c r="D28" s="14"/>
      <c r="E28" s="15"/>
      <c r="F28" s="15"/>
      <c r="G28" s="13"/>
      <c r="H28" s="13"/>
      <c r="I28" s="13"/>
      <c r="J28" s="13"/>
      <c r="K28" s="13"/>
      <c r="L28" s="16"/>
      <c r="M28" s="13"/>
      <c r="N28" s="17"/>
    </row>
    <row r="29" spans="1:14" x14ac:dyDescent="0.3">
      <c r="A29" s="11">
        <v>20</v>
      </c>
      <c r="B29" s="12">
        <v>45811</v>
      </c>
      <c r="C29" s="13" t="s">
        <v>14</v>
      </c>
      <c r="D29" s="14" t="s">
        <v>30</v>
      </c>
      <c r="E29" s="15" t="s">
        <v>31</v>
      </c>
      <c r="F29" s="15" t="s">
        <v>32</v>
      </c>
      <c r="G29" s="13">
        <v>800</v>
      </c>
      <c r="H29" s="13">
        <v>850</v>
      </c>
      <c r="I29" s="13">
        <v>0</v>
      </c>
      <c r="J29" s="13">
        <v>500</v>
      </c>
      <c r="K29" s="13">
        <f t="shared" si="0"/>
        <v>350</v>
      </c>
      <c r="L29" s="29">
        <f t="shared" si="1"/>
        <v>0.4375</v>
      </c>
      <c r="M29" s="13" t="str">
        <f t="shared" si="2"/>
        <v>Yes</v>
      </c>
      <c r="N29" s="17">
        <f t="shared" si="3"/>
        <v>450</v>
      </c>
    </row>
    <row r="30" spans="1:14" x14ac:dyDescent="0.3">
      <c r="A30" s="11">
        <v>21</v>
      </c>
      <c r="B30" s="12">
        <v>45811</v>
      </c>
      <c r="C30" s="13" t="s">
        <v>37</v>
      </c>
      <c r="D30" s="14" t="s">
        <v>33</v>
      </c>
      <c r="E30" s="15" t="s">
        <v>34</v>
      </c>
      <c r="F30" s="15" t="s">
        <v>35</v>
      </c>
      <c r="G30" s="13">
        <v>300</v>
      </c>
      <c r="H30" s="13">
        <v>250</v>
      </c>
      <c r="I30" s="13">
        <v>1000</v>
      </c>
      <c r="J30" s="13">
        <v>500</v>
      </c>
      <c r="K30" s="13">
        <f t="shared" si="0"/>
        <v>750</v>
      </c>
      <c r="L30" s="29">
        <f t="shared" si="1"/>
        <v>2.5</v>
      </c>
      <c r="M30" s="13" t="str">
        <f t="shared" si="2"/>
        <v>No</v>
      </c>
      <c r="N30" s="17" t="str">
        <f t="shared" si="3"/>
        <v>Not Required</v>
      </c>
    </row>
    <row r="31" spans="1:14" x14ac:dyDescent="0.3">
      <c r="A31" s="11">
        <v>22</v>
      </c>
      <c r="B31" s="12">
        <v>45812</v>
      </c>
      <c r="C31" s="13" t="s">
        <v>37</v>
      </c>
      <c r="D31" s="14" t="s">
        <v>15</v>
      </c>
      <c r="E31" s="15" t="s">
        <v>16</v>
      </c>
      <c r="F31" s="15" t="s">
        <v>38</v>
      </c>
      <c r="G31" s="13">
        <v>100</v>
      </c>
      <c r="H31" s="13">
        <v>55</v>
      </c>
      <c r="I31" s="13">
        <v>350</v>
      </c>
      <c r="J31" s="13">
        <v>180</v>
      </c>
      <c r="K31" s="13">
        <f t="shared" si="0"/>
        <v>225</v>
      </c>
      <c r="L31" s="29">
        <f t="shared" si="1"/>
        <v>2.25</v>
      </c>
      <c r="M31" s="13" t="str">
        <f t="shared" si="2"/>
        <v>No</v>
      </c>
      <c r="N31" s="17" t="str">
        <f t="shared" si="3"/>
        <v>Not Required</v>
      </c>
    </row>
    <row r="32" spans="1:14" x14ac:dyDescent="0.3">
      <c r="A32" s="11">
        <v>23</v>
      </c>
      <c r="B32" s="12">
        <v>45812</v>
      </c>
      <c r="C32" s="13" t="s">
        <v>14</v>
      </c>
      <c r="D32" s="14" t="s">
        <v>18</v>
      </c>
      <c r="E32" s="15" t="s">
        <v>19</v>
      </c>
      <c r="F32" s="15" t="s">
        <v>20</v>
      </c>
      <c r="G32" s="13">
        <v>500</v>
      </c>
      <c r="H32" s="13">
        <v>150</v>
      </c>
      <c r="I32" s="13">
        <v>1000</v>
      </c>
      <c r="J32" s="13">
        <v>400</v>
      </c>
      <c r="K32" s="13">
        <f t="shared" si="0"/>
        <v>750</v>
      </c>
      <c r="L32" s="29">
        <f t="shared" si="1"/>
        <v>1.5</v>
      </c>
      <c r="M32" s="13" t="str">
        <f t="shared" si="2"/>
        <v>No</v>
      </c>
      <c r="N32" s="17" t="str">
        <f t="shared" si="3"/>
        <v>Not Required</v>
      </c>
    </row>
    <row r="33" spans="1:14" x14ac:dyDescent="0.3">
      <c r="A33" s="11">
        <v>23</v>
      </c>
      <c r="B33" s="12">
        <v>45812</v>
      </c>
      <c r="C33" s="13" t="s">
        <v>14</v>
      </c>
      <c r="D33" s="14" t="s">
        <v>18</v>
      </c>
      <c r="E33" s="15" t="s">
        <v>19</v>
      </c>
      <c r="F33" s="15" t="s">
        <v>20</v>
      </c>
      <c r="G33" s="13">
        <v>500</v>
      </c>
      <c r="H33" s="13">
        <v>150</v>
      </c>
      <c r="I33" s="13">
        <v>1000</v>
      </c>
      <c r="J33" s="13">
        <v>400</v>
      </c>
      <c r="K33" s="13">
        <f t="shared" si="0"/>
        <v>750</v>
      </c>
      <c r="L33" s="29">
        <f t="shared" si="1"/>
        <v>1.5</v>
      </c>
      <c r="M33" s="13" t="str">
        <f t="shared" si="2"/>
        <v>No</v>
      </c>
      <c r="N33" s="17" t="str">
        <f t="shared" si="3"/>
        <v>Not Required</v>
      </c>
    </row>
    <row r="34" spans="1:14" x14ac:dyDescent="0.3">
      <c r="A34" s="11">
        <v>24</v>
      </c>
      <c r="B34" s="12">
        <v>45812</v>
      </c>
      <c r="C34" s="13" t="s">
        <v>14</v>
      </c>
      <c r="D34" s="14" t="s">
        <v>21</v>
      </c>
      <c r="E34" s="15" t="s">
        <v>22</v>
      </c>
      <c r="F34" s="15" t="s">
        <v>23</v>
      </c>
      <c r="G34" s="13">
        <v>1000</v>
      </c>
      <c r="H34" s="13">
        <v>350</v>
      </c>
      <c r="I34" s="13">
        <v>2000</v>
      </c>
      <c r="J34" s="13">
        <v>750</v>
      </c>
      <c r="K34" s="13">
        <f t="shared" si="0"/>
        <v>1600</v>
      </c>
      <c r="L34" s="29">
        <f t="shared" si="1"/>
        <v>1.6</v>
      </c>
      <c r="M34" s="13" t="str">
        <f t="shared" si="2"/>
        <v>No</v>
      </c>
      <c r="N34" s="17" t="str">
        <f t="shared" si="3"/>
        <v>Not Required</v>
      </c>
    </row>
    <row r="35" spans="1:14" x14ac:dyDescent="0.3">
      <c r="A35" s="11">
        <v>25</v>
      </c>
      <c r="B35" s="12">
        <v>45812</v>
      </c>
      <c r="C35" s="13" t="s">
        <v>14</v>
      </c>
      <c r="D35" s="14" t="s">
        <v>24</v>
      </c>
      <c r="E35" s="15" t="s">
        <v>25</v>
      </c>
      <c r="F35" s="15" t="s">
        <v>26</v>
      </c>
      <c r="G35" s="13">
        <v>1500</v>
      </c>
      <c r="H35" s="13">
        <v>800</v>
      </c>
      <c r="I35" s="13">
        <v>2000</v>
      </c>
      <c r="J35" s="13">
        <v>900</v>
      </c>
      <c r="K35" s="13">
        <f t="shared" si="0"/>
        <v>1900</v>
      </c>
      <c r="L35" s="29">
        <f t="shared" si="1"/>
        <v>1.2666666666666666</v>
      </c>
      <c r="M35" s="13" t="str">
        <f t="shared" si="2"/>
        <v>No</v>
      </c>
      <c r="N35" s="17" t="str">
        <f t="shared" si="3"/>
        <v>Not Required</v>
      </c>
    </row>
    <row r="36" spans="1:14" x14ac:dyDescent="0.3">
      <c r="A36" s="11"/>
      <c r="B36" s="12"/>
      <c r="C36" s="13"/>
      <c r="D36" s="14"/>
      <c r="E36" s="15"/>
      <c r="F36" s="15"/>
      <c r="G36" s="13"/>
      <c r="H36" s="13"/>
      <c r="I36" s="13"/>
      <c r="J36" s="13"/>
      <c r="K36" s="13"/>
      <c r="L36" s="16"/>
      <c r="M36" s="13"/>
      <c r="N36" s="17"/>
    </row>
    <row r="37" spans="1:14" x14ac:dyDescent="0.3">
      <c r="A37" s="11">
        <v>26</v>
      </c>
      <c r="B37" s="12">
        <v>45812</v>
      </c>
      <c r="C37" s="13" t="s">
        <v>14</v>
      </c>
      <c r="D37" s="14" t="s">
        <v>27</v>
      </c>
      <c r="E37" s="15" t="s">
        <v>28</v>
      </c>
      <c r="F37" s="15" t="s">
        <v>29</v>
      </c>
      <c r="G37" s="13">
        <v>2000</v>
      </c>
      <c r="H37" s="13">
        <v>2250</v>
      </c>
      <c r="I37" s="13">
        <v>0</v>
      </c>
      <c r="J37" s="13">
        <v>1800</v>
      </c>
      <c r="K37" s="13">
        <f t="shared" si="0"/>
        <v>450</v>
      </c>
      <c r="L37" s="16">
        <f t="shared" si="1"/>
        <v>0.22500000000000001</v>
      </c>
      <c r="M37" s="13" t="str">
        <f t="shared" si="2"/>
        <v>Yes</v>
      </c>
      <c r="N37" s="17">
        <f t="shared" si="3"/>
        <v>1550</v>
      </c>
    </row>
    <row r="38" spans="1:14" x14ac:dyDescent="0.3">
      <c r="A38" s="11">
        <v>27</v>
      </c>
      <c r="B38" s="12">
        <v>45812</v>
      </c>
      <c r="C38" s="13"/>
      <c r="D38" s="14" t="s">
        <v>30</v>
      </c>
      <c r="E38" s="15" t="s">
        <v>31</v>
      </c>
      <c r="F38" s="15" t="s">
        <v>32</v>
      </c>
      <c r="G38" s="13">
        <v>800</v>
      </c>
      <c r="H38" s="13">
        <v>350</v>
      </c>
      <c r="I38" s="13">
        <v>1500</v>
      </c>
      <c r="J38" s="13">
        <v>1100</v>
      </c>
      <c r="K38" s="13">
        <f t="shared" si="0"/>
        <v>750</v>
      </c>
      <c r="L38" s="16">
        <f t="shared" si="1"/>
        <v>0.9375</v>
      </c>
      <c r="M38" s="13" t="str">
        <f t="shared" si="2"/>
        <v>Yes</v>
      </c>
      <c r="N38" s="17">
        <f t="shared" si="3"/>
        <v>50</v>
      </c>
    </row>
    <row r="39" spans="1:14" x14ac:dyDescent="0.3">
      <c r="A39" s="11">
        <v>28</v>
      </c>
      <c r="B39" s="12">
        <v>45812</v>
      </c>
      <c r="C39" s="13" t="s">
        <v>14</v>
      </c>
      <c r="D39" s="14" t="s">
        <v>33</v>
      </c>
      <c r="E39" s="15" t="s">
        <v>34</v>
      </c>
      <c r="F39" s="15" t="s">
        <v>35</v>
      </c>
      <c r="G39" s="13">
        <v>300</v>
      </c>
      <c r="H39" s="13">
        <v>750</v>
      </c>
      <c r="I39" s="13">
        <v>0</v>
      </c>
      <c r="J39" s="13">
        <v>350</v>
      </c>
      <c r="K39" s="13">
        <f t="shared" si="0"/>
        <v>400</v>
      </c>
      <c r="L39" s="16">
        <f t="shared" si="1"/>
        <v>1.3333333333333333</v>
      </c>
      <c r="M39" s="13" t="str">
        <f t="shared" si="2"/>
        <v>No</v>
      </c>
      <c r="N39" s="17" t="str">
        <f t="shared" si="3"/>
        <v>Not Required</v>
      </c>
    </row>
    <row r="40" spans="1:14" x14ac:dyDescent="0.3">
      <c r="A40" s="11">
        <v>29</v>
      </c>
      <c r="B40" s="30">
        <v>45813</v>
      </c>
      <c r="C40" s="13" t="s">
        <v>37</v>
      </c>
      <c r="D40" s="14" t="s">
        <v>15</v>
      </c>
      <c r="E40" s="15" t="s">
        <v>16</v>
      </c>
      <c r="F40" s="15" t="s">
        <v>17</v>
      </c>
      <c r="G40" s="13">
        <v>100</v>
      </c>
      <c r="H40" s="13">
        <v>225</v>
      </c>
      <c r="I40" s="13">
        <v>0</v>
      </c>
      <c r="J40" s="13">
        <v>200</v>
      </c>
      <c r="K40" s="13">
        <f t="shared" si="0"/>
        <v>25</v>
      </c>
      <c r="L40" s="16">
        <f t="shared" si="1"/>
        <v>0.25</v>
      </c>
      <c r="M40" s="13" t="str">
        <f t="shared" si="2"/>
        <v>Yes</v>
      </c>
      <c r="N40" s="17">
        <f t="shared" si="3"/>
        <v>75</v>
      </c>
    </row>
    <row r="41" spans="1:14" x14ac:dyDescent="0.3">
      <c r="A41" s="11">
        <v>30</v>
      </c>
      <c r="B41" s="30">
        <v>45813</v>
      </c>
      <c r="C41" s="13" t="s">
        <v>14</v>
      </c>
      <c r="D41" s="14" t="s">
        <v>18</v>
      </c>
      <c r="E41" s="15" t="s">
        <v>19</v>
      </c>
      <c r="F41" s="15" t="s">
        <v>20</v>
      </c>
      <c r="G41" s="13">
        <v>500</v>
      </c>
      <c r="H41" s="13">
        <v>750</v>
      </c>
      <c r="I41" s="13">
        <v>0</v>
      </c>
      <c r="J41" s="13">
        <v>450</v>
      </c>
      <c r="K41" s="13">
        <f t="shared" si="0"/>
        <v>300</v>
      </c>
      <c r="L41" s="16">
        <f t="shared" si="1"/>
        <v>0.6</v>
      </c>
      <c r="M41" s="13" t="str">
        <f t="shared" si="2"/>
        <v>Yes</v>
      </c>
      <c r="N41" s="17">
        <f t="shared" si="3"/>
        <v>200</v>
      </c>
    </row>
    <row r="42" spans="1:14" x14ac:dyDescent="0.3">
      <c r="A42" s="11">
        <v>31</v>
      </c>
      <c r="B42" s="30">
        <v>45813</v>
      </c>
      <c r="C42" s="13" t="s">
        <v>14</v>
      </c>
      <c r="D42" s="14" t="s">
        <v>21</v>
      </c>
      <c r="E42" s="15" t="s">
        <v>22</v>
      </c>
      <c r="F42" s="15" t="s">
        <v>23</v>
      </c>
      <c r="G42" s="13">
        <v>1000</v>
      </c>
      <c r="H42" s="13">
        <v>1600</v>
      </c>
      <c r="I42" s="13">
        <v>0</v>
      </c>
      <c r="J42" s="13">
        <v>900</v>
      </c>
      <c r="K42" s="13">
        <f t="shared" si="0"/>
        <v>700</v>
      </c>
      <c r="L42" s="16">
        <f t="shared" si="1"/>
        <v>0.7</v>
      </c>
      <c r="M42" s="13" t="str">
        <f t="shared" si="2"/>
        <v>Yes</v>
      </c>
      <c r="N42" s="17">
        <f t="shared" si="3"/>
        <v>300</v>
      </c>
    </row>
    <row r="43" spans="1:14" x14ac:dyDescent="0.3">
      <c r="A43" s="11">
        <v>32</v>
      </c>
      <c r="B43" s="30">
        <v>45813</v>
      </c>
      <c r="C43" s="13"/>
      <c r="D43" s="14" t="s">
        <v>24</v>
      </c>
      <c r="E43" s="15" t="s">
        <v>25</v>
      </c>
      <c r="F43" s="15" t="s">
        <v>26</v>
      </c>
      <c r="G43" s="13">
        <v>1500</v>
      </c>
      <c r="H43" s="13">
        <v>1900</v>
      </c>
      <c r="I43" s="13">
        <v>0</v>
      </c>
      <c r="J43" s="13">
        <v>1000</v>
      </c>
      <c r="K43" s="13">
        <f t="shared" si="0"/>
        <v>900</v>
      </c>
      <c r="L43" s="16">
        <f t="shared" si="1"/>
        <v>0.6</v>
      </c>
      <c r="M43" s="13" t="str">
        <f t="shared" si="2"/>
        <v>Yes</v>
      </c>
      <c r="N43" s="17">
        <f t="shared" si="3"/>
        <v>600</v>
      </c>
    </row>
    <row r="44" spans="1:14" x14ac:dyDescent="0.3">
      <c r="A44" s="11">
        <v>33</v>
      </c>
      <c r="B44" s="30">
        <v>45813</v>
      </c>
      <c r="C44" s="13" t="s">
        <v>14</v>
      </c>
      <c r="D44" s="14" t="s">
        <v>27</v>
      </c>
      <c r="E44" s="15" t="s">
        <v>28</v>
      </c>
      <c r="F44" s="15" t="s">
        <v>29</v>
      </c>
      <c r="G44" s="13">
        <v>2000</v>
      </c>
      <c r="H44" s="13">
        <v>450</v>
      </c>
      <c r="I44" s="13">
        <v>5000</v>
      </c>
      <c r="J44" s="13">
        <v>2000</v>
      </c>
      <c r="K44" s="13">
        <f t="shared" si="0"/>
        <v>3450</v>
      </c>
      <c r="L44" s="16">
        <f t="shared" si="1"/>
        <v>1.7250000000000001</v>
      </c>
      <c r="M44" s="13" t="str">
        <f t="shared" si="2"/>
        <v>No</v>
      </c>
      <c r="N44" s="17" t="str">
        <f t="shared" si="3"/>
        <v>Not Required</v>
      </c>
    </row>
    <row r="45" spans="1:14" x14ac:dyDescent="0.3">
      <c r="A45" s="11">
        <v>34</v>
      </c>
      <c r="B45" s="12">
        <v>45813</v>
      </c>
      <c r="C45" s="13" t="s">
        <v>14</v>
      </c>
      <c r="D45" s="14" t="s">
        <v>30</v>
      </c>
      <c r="E45" s="15" t="s">
        <v>31</v>
      </c>
      <c r="F45" s="15" t="s">
        <v>32</v>
      </c>
      <c r="G45" s="13">
        <v>800</v>
      </c>
      <c r="H45" s="13">
        <v>750</v>
      </c>
      <c r="I45" s="13">
        <v>500</v>
      </c>
      <c r="J45" s="13">
        <v>500</v>
      </c>
      <c r="K45" s="13">
        <f t="shared" si="0"/>
        <v>750</v>
      </c>
      <c r="L45" s="16">
        <f t="shared" si="1"/>
        <v>0.9375</v>
      </c>
      <c r="M45" s="13" t="str">
        <f t="shared" si="2"/>
        <v>Yes</v>
      </c>
      <c r="N45" s="17">
        <f t="shared" si="3"/>
        <v>50</v>
      </c>
    </row>
    <row r="46" spans="1:14" ht="15" thickBot="1" x14ac:dyDescent="0.35">
      <c r="A46" s="18">
        <v>35</v>
      </c>
      <c r="B46" s="19">
        <v>45813</v>
      </c>
      <c r="C46" s="20" t="s">
        <v>14</v>
      </c>
      <c r="D46" s="21" t="s">
        <v>33</v>
      </c>
      <c r="E46" s="22" t="s">
        <v>34</v>
      </c>
      <c r="F46" s="22" t="s">
        <v>35</v>
      </c>
      <c r="G46" s="20">
        <v>300</v>
      </c>
      <c r="H46" s="20">
        <v>400</v>
      </c>
      <c r="I46" s="20">
        <v>0</v>
      </c>
      <c r="J46" s="20">
        <v>250</v>
      </c>
      <c r="K46" s="20">
        <f t="shared" si="0"/>
        <v>150</v>
      </c>
      <c r="L46" s="23">
        <f t="shared" si="1"/>
        <v>0.5</v>
      </c>
      <c r="M46" s="20" t="str">
        <f t="shared" si="2"/>
        <v>Yes</v>
      </c>
      <c r="N46" s="24">
        <f t="shared" si="3"/>
        <v>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BD310-ED4C-46F2-885B-5C3ED86AFD48}">
  <dimension ref="A1:N36"/>
  <sheetViews>
    <sheetView workbookViewId="0">
      <selection activeCell="G19" sqref="G19"/>
    </sheetView>
  </sheetViews>
  <sheetFormatPr defaultRowHeight="14.4" x14ac:dyDescent="0.3"/>
  <cols>
    <col min="1" max="1" width="8.44140625" bestFit="1" customWidth="1"/>
    <col min="2" max="2" width="10.33203125" bestFit="1" customWidth="1"/>
    <col min="3" max="3" width="17.5546875" bestFit="1" customWidth="1"/>
    <col min="4" max="4" width="15.44140625" bestFit="1" customWidth="1"/>
    <col min="5" max="5" width="26.21875" bestFit="1" customWidth="1"/>
    <col min="6" max="6" width="18.44140625" bestFit="1" customWidth="1"/>
    <col min="7" max="7" width="29.109375" bestFit="1" customWidth="1"/>
    <col min="8" max="8" width="23.33203125" bestFit="1" customWidth="1"/>
    <col min="9" max="9" width="16.109375" bestFit="1" customWidth="1"/>
    <col min="10" max="10" width="17.5546875" bestFit="1" customWidth="1"/>
    <col min="11" max="11" width="22.5546875" bestFit="1" customWidth="1"/>
    <col min="12" max="12" width="13.5546875" bestFit="1" customWidth="1"/>
    <col min="13" max="13" width="17.77734375" bestFit="1" customWidth="1"/>
    <col min="14" max="14" width="30.441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s="35">
        <v>45809</v>
      </c>
      <c r="C2" t="s">
        <v>14</v>
      </c>
      <c r="D2" t="s">
        <v>15</v>
      </c>
      <c r="E2" t="s">
        <v>16</v>
      </c>
      <c r="F2" t="s">
        <v>17</v>
      </c>
      <c r="G2">
        <v>100</v>
      </c>
      <c r="H2">
        <v>50</v>
      </c>
      <c r="I2">
        <v>100</v>
      </c>
      <c r="J2">
        <v>75</v>
      </c>
      <c r="K2">
        <v>75</v>
      </c>
      <c r="L2">
        <v>0.75</v>
      </c>
      <c r="M2" t="s">
        <v>45</v>
      </c>
      <c r="N2">
        <v>25</v>
      </c>
    </row>
    <row r="3" spans="1:14" x14ac:dyDescent="0.3">
      <c r="A3">
        <v>2</v>
      </c>
      <c r="B3" s="35">
        <v>45809</v>
      </c>
      <c r="C3" t="s">
        <v>14</v>
      </c>
      <c r="D3" t="s">
        <v>18</v>
      </c>
      <c r="E3" t="s">
        <v>19</v>
      </c>
      <c r="F3" t="s">
        <v>20</v>
      </c>
      <c r="G3">
        <v>500</v>
      </c>
      <c r="H3">
        <v>650</v>
      </c>
      <c r="I3">
        <v>150</v>
      </c>
      <c r="J3">
        <v>400</v>
      </c>
      <c r="K3">
        <v>400</v>
      </c>
      <c r="L3">
        <v>0.8</v>
      </c>
      <c r="M3" t="s">
        <v>45</v>
      </c>
      <c r="N3">
        <v>100</v>
      </c>
    </row>
    <row r="4" spans="1:14" x14ac:dyDescent="0.3">
      <c r="A4">
        <v>3</v>
      </c>
      <c r="B4" s="35">
        <v>45809</v>
      </c>
      <c r="C4" t="s">
        <v>14</v>
      </c>
      <c r="D4" t="s">
        <v>21</v>
      </c>
      <c r="E4" t="s">
        <v>22</v>
      </c>
      <c r="F4" t="s">
        <v>23</v>
      </c>
      <c r="G4">
        <v>1000</v>
      </c>
      <c r="H4">
        <v>650</v>
      </c>
      <c r="I4">
        <v>500</v>
      </c>
      <c r="J4">
        <v>600</v>
      </c>
      <c r="K4">
        <v>550</v>
      </c>
      <c r="L4">
        <v>0.55000000000000004</v>
      </c>
      <c r="M4" t="s">
        <v>45</v>
      </c>
      <c r="N4">
        <v>450</v>
      </c>
    </row>
    <row r="5" spans="1:14" x14ac:dyDescent="0.3">
      <c r="A5">
        <v>4</v>
      </c>
      <c r="B5" s="35">
        <v>45809</v>
      </c>
      <c r="C5" t="s">
        <v>14</v>
      </c>
      <c r="D5" t="s">
        <v>24</v>
      </c>
      <c r="E5" t="s">
        <v>25</v>
      </c>
      <c r="F5" t="s">
        <v>26</v>
      </c>
      <c r="G5">
        <v>1500</v>
      </c>
      <c r="H5">
        <v>1500</v>
      </c>
      <c r="I5">
        <v>0</v>
      </c>
      <c r="J5">
        <v>900</v>
      </c>
      <c r="K5">
        <v>600</v>
      </c>
      <c r="L5">
        <v>0.4</v>
      </c>
      <c r="M5" t="s">
        <v>45</v>
      </c>
      <c r="N5">
        <v>900</v>
      </c>
    </row>
    <row r="6" spans="1:14" x14ac:dyDescent="0.3">
      <c r="A6">
        <v>5</v>
      </c>
      <c r="B6" s="35">
        <v>45809</v>
      </c>
      <c r="C6" t="s">
        <v>14</v>
      </c>
      <c r="D6" t="s">
        <v>27</v>
      </c>
      <c r="E6" t="s">
        <v>28</v>
      </c>
      <c r="F6" t="s">
        <v>29</v>
      </c>
      <c r="G6">
        <v>2000</v>
      </c>
      <c r="H6">
        <v>1500</v>
      </c>
      <c r="I6">
        <v>1000</v>
      </c>
      <c r="J6">
        <v>750</v>
      </c>
      <c r="K6">
        <v>1750</v>
      </c>
      <c r="L6">
        <v>0.875</v>
      </c>
      <c r="M6" t="s">
        <v>45</v>
      </c>
      <c r="N6">
        <v>250</v>
      </c>
    </row>
    <row r="7" spans="1:14" x14ac:dyDescent="0.3">
      <c r="A7">
        <v>6</v>
      </c>
      <c r="B7" s="35">
        <v>45809</v>
      </c>
      <c r="C7" t="s">
        <v>14</v>
      </c>
      <c r="D7" t="s">
        <v>30</v>
      </c>
      <c r="E7" t="s">
        <v>31</v>
      </c>
      <c r="F7" t="s">
        <v>32</v>
      </c>
      <c r="G7">
        <v>800</v>
      </c>
      <c r="H7">
        <v>1000</v>
      </c>
      <c r="I7">
        <v>0</v>
      </c>
      <c r="J7">
        <v>750</v>
      </c>
      <c r="K7">
        <v>250</v>
      </c>
      <c r="L7">
        <v>0.3125</v>
      </c>
      <c r="M7" t="s">
        <v>45</v>
      </c>
      <c r="N7">
        <v>550</v>
      </c>
    </row>
    <row r="8" spans="1:14" x14ac:dyDescent="0.3">
      <c r="A8">
        <v>7</v>
      </c>
      <c r="B8" s="35">
        <v>45809</v>
      </c>
      <c r="C8" t="s">
        <v>14</v>
      </c>
      <c r="D8" t="s">
        <v>33</v>
      </c>
      <c r="E8" t="s">
        <v>34</v>
      </c>
      <c r="F8" t="s">
        <v>35</v>
      </c>
      <c r="G8">
        <v>300</v>
      </c>
      <c r="H8">
        <v>250</v>
      </c>
      <c r="I8">
        <v>250</v>
      </c>
      <c r="J8">
        <v>300</v>
      </c>
      <c r="K8">
        <v>200</v>
      </c>
      <c r="L8">
        <v>0.66666666666666663</v>
      </c>
      <c r="M8" t="s">
        <v>45</v>
      </c>
      <c r="N8">
        <v>100</v>
      </c>
    </row>
    <row r="9" spans="1:14" x14ac:dyDescent="0.3">
      <c r="A9">
        <v>8</v>
      </c>
      <c r="B9" s="35">
        <v>45810</v>
      </c>
      <c r="C9" t="s">
        <v>14</v>
      </c>
      <c r="D9" t="s">
        <v>15</v>
      </c>
      <c r="E9" t="s">
        <v>16</v>
      </c>
      <c r="F9" t="s">
        <v>17</v>
      </c>
      <c r="G9">
        <v>100</v>
      </c>
      <c r="H9">
        <v>75</v>
      </c>
      <c r="I9">
        <v>200</v>
      </c>
      <c r="J9">
        <v>50</v>
      </c>
      <c r="K9">
        <v>225</v>
      </c>
      <c r="L9">
        <v>2.25</v>
      </c>
      <c r="M9" t="s">
        <v>46</v>
      </c>
      <c r="N9" t="s">
        <v>47</v>
      </c>
    </row>
    <row r="10" spans="1:14" x14ac:dyDescent="0.3">
      <c r="A10">
        <v>9</v>
      </c>
      <c r="B10" s="35">
        <v>45810</v>
      </c>
      <c r="C10" t="s">
        <v>14</v>
      </c>
      <c r="D10" t="s">
        <v>18</v>
      </c>
      <c r="E10" t="s">
        <v>19</v>
      </c>
      <c r="F10" t="s">
        <v>20</v>
      </c>
      <c r="G10">
        <v>500</v>
      </c>
      <c r="H10">
        <v>400</v>
      </c>
      <c r="I10">
        <v>500</v>
      </c>
      <c r="J10">
        <v>350</v>
      </c>
      <c r="K10">
        <v>550</v>
      </c>
      <c r="L10">
        <v>1.1000000000000001</v>
      </c>
      <c r="M10" t="s">
        <v>46</v>
      </c>
      <c r="N10" t="s">
        <v>47</v>
      </c>
    </row>
    <row r="11" spans="1:14" x14ac:dyDescent="0.3">
      <c r="A11">
        <v>10</v>
      </c>
      <c r="B11" s="35">
        <v>45810</v>
      </c>
      <c r="C11" t="s">
        <v>14</v>
      </c>
      <c r="D11" t="s">
        <v>21</v>
      </c>
      <c r="E11" t="s">
        <v>22</v>
      </c>
      <c r="F11" t="s">
        <v>23</v>
      </c>
      <c r="G11">
        <v>1000</v>
      </c>
      <c r="H11">
        <v>550</v>
      </c>
      <c r="I11">
        <v>1500</v>
      </c>
      <c r="J11">
        <v>900</v>
      </c>
      <c r="K11">
        <v>1150</v>
      </c>
      <c r="L11">
        <v>1.1499999999999999</v>
      </c>
      <c r="M11" t="s">
        <v>46</v>
      </c>
      <c r="N11" t="s">
        <v>47</v>
      </c>
    </row>
    <row r="12" spans="1:14" x14ac:dyDescent="0.3">
      <c r="A12">
        <v>11</v>
      </c>
      <c r="B12" s="35">
        <v>45810</v>
      </c>
      <c r="C12" t="s">
        <v>14</v>
      </c>
      <c r="D12" t="s">
        <v>24</v>
      </c>
      <c r="E12" t="s">
        <v>25</v>
      </c>
      <c r="F12" t="s">
        <v>26</v>
      </c>
      <c r="G12">
        <v>1500</v>
      </c>
      <c r="H12">
        <v>600</v>
      </c>
      <c r="I12">
        <v>2500</v>
      </c>
      <c r="J12">
        <v>1500</v>
      </c>
      <c r="K12">
        <v>1600</v>
      </c>
      <c r="L12">
        <v>1.0666666666666669</v>
      </c>
      <c r="M12" t="s">
        <v>46</v>
      </c>
      <c r="N12" t="s">
        <v>47</v>
      </c>
    </row>
    <row r="13" spans="1:14" x14ac:dyDescent="0.3">
      <c r="A13">
        <v>12</v>
      </c>
      <c r="B13" s="35">
        <v>45810</v>
      </c>
      <c r="C13" t="s">
        <v>14</v>
      </c>
      <c r="D13" t="s">
        <v>27</v>
      </c>
      <c r="E13" t="s">
        <v>28</v>
      </c>
      <c r="F13" t="s">
        <v>29</v>
      </c>
      <c r="G13">
        <v>2000</v>
      </c>
      <c r="H13">
        <v>1750</v>
      </c>
      <c r="I13">
        <v>3000</v>
      </c>
      <c r="J13">
        <v>1000</v>
      </c>
      <c r="K13">
        <v>3750</v>
      </c>
      <c r="L13">
        <v>1.875</v>
      </c>
      <c r="M13" t="s">
        <v>46</v>
      </c>
      <c r="N13" t="s">
        <v>47</v>
      </c>
    </row>
    <row r="14" spans="1:14" x14ac:dyDescent="0.3">
      <c r="A14">
        <v>13</v>
      </c>
      <c r="B14" s="35">
        <v>45810</v>
      </c>
      <c r="C14" t="s">
        <v>14</v>
      </c>
      <c r="D14" t="s">
        <v>30</v>
      </c>
      <c r="E14" t="s">
        <v>31</v>
      </c>
      <c r="F14" t="s">
        <v>32</v>
      </c>
      <c r="G14">
        <v>800</v>
      </c>
      <c r="H14">
        <v>250</v>
      </c>
      <c r="I14">
        <v>2000</v>
      </c>
      <c r="J14">
        <v>1400</v>
      </c>
      <c r="K14">
        <v>850</v>
      </c>
      <c r="L14">
        <v>1.0625</v>
      </c>
      <c r="M14" t="s">
        <v>46</v>
      </c>
      <c r="N14" t="s">
        <v>47</v>
      </c>
    </row>
    <row r="15" spans="1:14" x14ac:dyDescent="0.3">
      <c r="A15">
        <v>14</v>
      </c>
      <c r="B15" s="35">
        <v>45810</v>
      </c>
      <c r="C15" t="s">
        <v>14</v>
      </c>
      <c r="D15" t="s">
        <v>33</v>
      </c>
      <c r="E15" t="s">
        <v>34</v>
      </c>
      <c r="F15" t="s">
        <v>35</v>
      </c>
      <c r="G15">
        <v>300</v>
      </c>
      <c r="H15">
        <v>200</v>
      </c>
      <c r="I15">
        <v>500</v>
      </c>
      <c r="J15">
        <v>450</v>
      </c>
      <c r="K15">
        <v>250</v>
      </c>
      <c r="L15">
        <v>0.83333333333333348</v>
      </c>
      <c r="M15" t="s">
        <v>45</v>
      </c>
      <c r="N15">
        <v>50</v>
      </c>
    </row>
    <row r="16" spans="1:14" x14ac:dyDescent="0.3">
      <c r="A16">
        <v>15</v>
      </c>
      <c r="B16" s="35">
        <v>45811</v>
      </c>
      <c r="C16" t="s">
        <v>14</v>
      </c>
      <c r="D16" t="s">
        <v>15</v>
      </c>
      <c r="E16" t="s">
        <v>16</v>
      </c>
      <c r="F16" t="s">
        <v>17</v>
      </c>
      <c r="G16">
        <v>100</v>
      </c>
      <c r="H16">
        <v>225</v>
      </c>
      <c r="I16">
        <v>0</v>
      </c>
      <c r="J16">
        <v>170</v>
      </c>
      <c r="K16">
        <v>55</v>
      </c>
      <c r="L16">
        <v>0.55000000000000004</v>
      </c>
      <c r="M16" t="s">
        <v>45</v>
      </c>
      <c r="N16">
        <v>45</v>
      </c>
    </row>
    <row r="17" spans="1:14" x14ac:dyDescent="0.3">
      <c r="A17">
        <v>16</v>
      </c>
      <c r="B17" s="35">
        <v>45811</v>
      </c>
      <c r="C17" t="s">
        <v>14</v>
      </c>
      <c r="D17" t="s">
        <v>18</v>
      </c>
      <c r="E17" t="s">
        <v>19</v>
      </c>
      <c r="F17" t="s">
        <v>20</v>
      </c>
      <c r="G17">
        <v>500</v>
      </c>
      <c r="H17">
        <v>550</v>
      </c>
      <c r="I17">
        <v>0</v>
      </c>
      <c r="J17">
        <v>400</v>
      </c>
      <c r="K17">
        <v>150</v>
      </c>
      <c r="L17">
        <v>0.3</v>
      </c>
      <c r="M17" t="s">
        <v>45</v>
      </c>
      <c r="N17">
        <v>350</v>
      </c>
    </row>
    <row r="18" spans="1:14" x14ac:dyDescent="0.3">
      <c r="A18">
        <v>17</v>
      </c>
      <c r="B18" s="35">
        <v>45811</v>
      </c>
      <c r="C18" t="s">
        <v>14</v>
      </c>
      <c r="D18" t="s">
        <v>21</v>
      </c>
      <c r="E18" t="s">
        <v>22</v>
      </c>
      <c r="F18" t="s">
        <v>23</v>
      </c>
      <c r="G18">
        <v>1000</v>
      </c>
      <c r="H18">
        <v>1150</v>
      </c>
      <c r="I18">
        <v>0</v>
      </c>
      <c r="J18">
        <v>800</v>
      </c>
      <c r="K18">
        <v>350</v>
      </c>
      <c r="L18">
        <v>0.35</v>
      </c>
      <c r="M18" t="s">
        <v>45</v>
      </c>
      <c r="N18">
        <v>650</v>
      </c>
    </row>
    <row r="19" spans="1:14" x14ac:dyDescent="0.3">
      <c r="A19">
        <v>18</v>
      </c>
      <c r="B19" s="35">
        <v>45811</v>
      </c>
      <c r="C19" t="s">
        <v>14</v>
      </c>
      <c r="D19" t="s">
        <v>24</v>
      </c>
      <c r="E19" t="s">
        <v>25</v>
      </c>
      <c r="F19" t="s">
        <v>26</v>
      </c>
      <c r="G19">
        <v>1500</v>
      </c>
      <c r="H19">
        <v>1600</v>
      </c>
      <c r="I19">
        <v>0</v>
      </c>
      <c r="J19">
        <v>800</v>
      </c>
      <c r="K19">
        <v>800</v>
      </c>
      <c r="L19">
        <v>0.53333333333333333</v>
      </c>
      <c r="M19" t="s">
        <v>45</v>
      </c>
      <c r="N19">
        <v>700</v>
      </c>
    </row>
    <row r="20" spans="1:14" x14ac:dyDescent="0.3">
      <c r="A20">
        <v>19</v>
      </c>
      <c r="B20" s="35">
        <v>45811</v>
      </c>
      <c r="C20" t="s">
        <v>14</v>
      </c>
      <c r="D20" t="s">
        <v>27</v>
      </c>
      <c r="E20" t="s">
        <v>28</v>
      </c>
      <c r="F20" t="s">
        <v>29</v>
      </c>
      <c r="G20">
        <v>2000</v>
      </c>
      <c r="H20">
        <v>3750</v>
      </c>
      <c r="I20">
        <v>0</v>
      </c>
      <c r="J20">
        <v>1500</v>
      </c>
      <c r="K20">
        <v>2250</v>
      </c>
      <c r="L20">
        <v>1.125</v>
      </c>
      <c r="M20" t="s">
        <v>46</v>
      </c>
      <c r="N20" t="s">
        <v>47</v>
      </c>
    </row>
    <row r="21" spans="1:14" x14ac:dyDescent="0.3">
      <c r="A21">
        <v>20</v>
      </c>
      <c r="B21" s="35">
        <v>45811</v>
      </c>
      <c r="C21" t="s">
        <v>14</v>
      </c>
      <c r="D21" t="s">
        <v>30</v>
      </c>
      <c r="E21" t="s">
        <v>31</v>
      </c>
      <c r="F21" t="s">
        <v>32</v>
      </c>
      <c r="G21">
        <v>800</v>
      </c>
      <c r="H21">
        <v>850</v>
      </c>
      <c r="I21">
        <v>0</v>
      </c>
      <c r="J21">
        <v>500</v>
      </c>
      <c r="K21">
        <v>350</v>
      </c>
      <c r="L21">
        <v>0.4375</v>
      </c>
      <c r="M21" t="s">
        <v>45</v>
      </c>
      <c r="N21">
        <v>450</v>
      </c>
    </row>
    <row r="22" spans="1:14" x14ac:dyDescent="0.3">
      <c r="A22">
        <v>21</v>
      </c>
      <c r="B22" s="35">
        <v>45811</v>
      </c>
      <c r="C22" t="s">
        <v>14</v>
      </c>
      <c r="D22" t="s">
        <v>33</v>
      </c>
      <c r="E22" t="s">
        <v>34</v>
      </c>
      <c r="F22" t="s">
        <v>35</v>
      </c>
      <c r="G22">
        <v>300</v>
      </c>
      <c r="H22">
        <v>250</v>
      </c>
      <c r="I22">
        <v>1000</v>
      </c>
      <c r="J22">
        <v>500</v>
      </c>
      <c r="K22">
        <v>750</v>
      </c>
      <c r="L22">
        <v>2.5</v>
      </c>
      <c r="M22" t="s">
        <v>46</v>
      </c>
      <c r="N22" t="s">
        <v>47</v>
      </c>
    </row>
    <row r="23" spans="1:14" x14ac:dyDescent="0.3">
      <c r="A23">
        <v>22</v>
      </c>
      <c r="B23" s="35">
        <v>45812</v>
      </c>
      <c r="C23" t="s">
        <v>14</v>
      </c>
      <c r="D23" t="s">
        <v>15</v>
      </c>
      <c r="E23" t="s">
        <v>16</v>
      </c>
      <c r="F23" t="s">
        <v>17</v>
      </c>
      <c r="G23">
        <v>100</v>
      </c>
      <c r="H23">
        <v>55</v>
      </c>
      <c r="I23">
        <v>350</v>
      </c>
      <c r="J23">
        <v>180</v>
      </c>
      <c r="K23">
        <v>225</v>
      </c>
      <c r="L23">
        <v>2.25</v>
      </c>
      <c r="M23" t="s">
        <v>46</v>
      </c>
      <c r="N23" t="s">
        <v>47</v>
      </c>
    </row>
    <row r="24" spans="1:14" x14ac:dyDescent="0.3">
      <c r="A24">
        <v>23</v>
      </c>
      <c r="B24" s="35">
        <v>45812</v>
      </c>
      <c r="C24" t="s">
        <v>14</v>
      </c>
      <c r="D24" t="s">
        <v>18</v>
      </c>
      <c r="E24" t="s">
        <v>19</v>
      </c>
      <c r="F24" t="s">
        <v>20</v>
      </c>
      <c r="G24">
        <v>500</v>
      </c>
      <c r="H24">
        <v>150</v>
      </c>
      <c r="I24">
        <v>1000</v>
      </c>
      <c r="J24">
        <v>400</v>
      </c>
      <c r="K24">
        <v>750</v>
      </c>
      <c r="L24">
        <v>1.5</v>
      </c>
      <c r="M24" t="s">
        <v>46</v>
      </c>
      <c r="N24" t="s">
        <v>47</v>
      </c>
    </row>
    <row r="25" spans="1:14" x14ac:dyDescent="0.3">
      <c r="A25">
        <v>24</v>
      </c>
      <c r="B25" s="35">
        <v>45812</v>
      </c>
      <c r="C25" t="s">
        <v>14</v>
      </c>
      <c r="D25" t="s">
        <v>21</v>
      </c>
      <c r="E25" t="s">
        <v>22</v>
      </c>
      <c r="F25" t="s">
        <v>23</v>
      </c>
      <c r="G25">
        <v>1000</v>
      </c>
      <c r="H25">
        <v>350</v>
      </c>
      <c r="I25">
        <v>2000</v>
      </c>
      <c r="J25">
        <v>750</v>
      </c>
      <c r="K25">
        <v>1600</v>
      </c>
      <c r="L25">
        <v>1.6</v>
      </c>
      <c r="M25" t="s">
        <v>46</v>
      </c>
      <c r="N25" t="s">
        <v>47</v>
      </c>
    </row>
    <row r="26" spans="1:14" x14ac:dyDescent="0.3">
      <c r="A26">
        <v>25</v>
      </c>
      <c r="B26" s="35">
        <v>45812</v>
      </c>
      <c r="C26" t="s">
        <v>14</v>
      </c>
      <c r="D26" t="s">
        <v>24</v>
      </c>
      <c r="E26" t="s">
        <v>25</v>
      </c>
      <c r="F26" t="s">
        <v>26</v>
      </c>
      <c r="G26">
        <v>1500</v>
      </c>
      <c r="H26">
        <v>800</v>
      </c>
      <c r="I26">
        <v>2000</v>
      </c>
      <c r="J26">
        <v>900</v>
      </c>
      <c r="K26">
        <v>1900</v>
      </c>
      <c r="L26">
        <v>1.2666666666666666</v>
      </c>
      <c r="M26" t="s">
        <v>46</v>
      </c>
      <c r="N26" t="s">
        <v>47</v>
      </c>
    </row>
    <row r="27" spans="1:14" x14ac:dyDescent="0.3">
      <c r="A27">
        <v>26</v>
      </c>
      <c r="B27" s="35">
        <v>45812</v>
      </c>
      <c r="C27" t="s">
        <v>14</v>
      </c>
      <c r="D27" t="s">
        <v>27</v>
      </c>
      <c r="E27" t="s">
        <v>28</v>
      </c>
      <c r="F27" t="s">
        <v>29</v>
      </c>
      <c r="G27">
        <v>2000</v>
      </c>
      <c r="H27">
        <v>2250</v>
      </c>
      <c r="I27">
        <v>0</v>
      </c>
      <c r="J27">
        <v>1800</v>
      </c>
      <c r="K27">
        <v>450</v>
      </c>
      <c r="L27">
        <v>0.22500000000000001</v>
      </c>
      <c r="M27" t="s">
        <v>45</v>
      </c>
      <c r="N27">
        <v>1550</v>
      </c>
    </row>
    <row r="28" spans="1:14" x14ac:dyDescent="0.3">
      <c r="A28">
        <v>27</v>
      </c>
      <c r="B28" s="35">
        <v>45812</v>
      </c>
      <c r="C28" t="s">
        <v>14</v>
      </c>
      <c r="D28" t="s">
        <v>30</v>
      </c>
      <c r="E28" t="s">
        <v>31</v>
      </c>
      <c r="F28" t="s">
        <v>32</v>
      </c>
      <c r="G28">
        <v>800</v>
      </c>
      <c r="H28">
        <v>350</v>
      </c>
      <c r="I28">
        <v>1500</v>
      </c>
      <c r="J28">
        <v>1100</v>
      </c>
      <c r="K28">
        <v>750</v>
      </c>
      <c r="L28">
        <v>0.9375</v>
      </c>
      <c r="M28" t="s">
        <v>45</v>
      </c>
      <c r="N28">
        <v>50</v>
      </c>
    </row>
    <row r="29" spans="1:14" x14ac:dyDescent="0.3">
      <c r="A29">
        <v>28</v>
      </c>
      <c r="B29" s="35">
        <v>45812</v>
      </c>
      <c r="C29" t="s">
        <v>14</v>
      </c>
      <c r="D29" t="s">
        <v>33</v>
      </c>
      <c r="E29" t="s">
        <v>34</v>
      </c>
      <c r="F29" t="s">
        <v>35</v>
      </c>
      <c r="G29">
        <v>300</v>
      </c>
      <c r="H29">
        <v>750</v>
      </c>
      <c r="I29">
        <v>0</v>
      </c>
      <c r="J29">
        <v>350</v>
      </c>
      <c r="K29">
        <v>400</v>
      </c>
      <c r="L29">
        <v>1.3333333333333333</v>
      </c>
      <c r="M29" t="s">
        <v>46</v>
      </c>
      <c r="N29" t="s">
        <v>47</v>
      </c>
    </row>
    <row r="30" spans="1:14" x14ac:dyDescent="0.3">
      <c r="A30">
        <v>29</v>
      </c>
      <c r="B30" s="35">
        <v>45813</v>
      </c>
      <c r="C30" t="s">
        <v>14</v>
      </c>
      <c r="D30" t="s">
        <v>15</v>
      </c>
      <c r="E30" t="s">
        <v>16</v>
      </c>
      <c r="F30" t="s">
        <v>17</v>
      </c>
      <c r="G30">
        <v>100</v>
      </c>
      <c r="H30">
        <v>225</v>
      </c>
      <c r="I30">
        <v>0</v>
      </c>
      <c r="J30">
        <v>200</v>
      </c>
      <c r="K30">
        <v>25</v>
      </c>
      <c r="L30">
        <v>0.25</v>
      </c>
      <c r="M30" t="s">
        <v>45</v>
      </c>
      <c r="N30">
        <v>75</v>
      </c>
    </row>
    <row r="31" spans="1:14" x14ac:dyDescent="0.3">
      <c r="A31">
        <v>30</v>
      </c>
      <c r="B31" s="35">
        <v>45813</v>
      </c>
      <c r="C31" t="s">
        <v>14</v>
      </c>
      <c r="D31" t="s">
        <v>18</v>
      </c>
      <c r="E31" t="s">
        <v>19</v>
      </c>
      <c r="F31" t="s">
        <v>20</v>
      </c>
      <c r="G31">
        <v>500</v>
      </c>
      <c r="H31">
        <v>750</v>
      </c>
      <c r="I31">
        <v>0</v>
      </c>
      <c r="J31">
        <v>450</v>
      </c>
      <c r="K31">
        <v>300</v>
      </c>
      <c r="L31">
        <v>0.6</v>
      </c>
      <c r="M31" t="s">
        <v>45</v>
      </c>
      <c r="N31">
        <v>200</v>
      </c>
    </row>
    <row r="32" spans="1:14" x14ac:dyDescent="0.3">
      <c r="A32">
        <v>31</v>
      </c>
      <c r="B32" s="35">
        <v>45813</v>
      </c>
      <c r="C32" t="s">
        <v>14</v>
      </c>
      <c r="D32" t="s">
        <v>21</v>
      </c>
      <c r="E32" t="s">
        <v>22</v>
      </c>
      <c r="F32" t="s">
        <v>23</v>
      </c>
      <c r="G32">
        <v>1000</v>
      </c>
      <c r="H32">
        <v>1600</v>
      </c>
      <c r="I32">
        <v>0</v>
      </c>
      <c r="J32">
        <v>900</v>
      </c>
      <c r="K32">
        <v>700</v>
      </c>
      <c r="L32">
        <v>0.7</v>
      </c>
      <c r="M32" t="s">
        <v>45</v>
      </c>
      <c r="N32">
        <v>300</v>
      </c>
    </row>
    <row r="33" spans="1:14" x14ac:dyDescent="0.3">
      <c r="A33">
        <v>32</v>
      </c>
      <c r="B33" s="35">
        <v>45813</v>
      </c>
      <c r="C33" t="s">
        <v>14</v>
      </c>
      <c r="D33" t="s">
        <v>24</v>
      </c>
      <c r="E33" t="s">
        <v>25</v>
      </c>
      <c r="F33" t="s">
        <v>26</v>
      </c>
      <c r="G33">
        <v>1500</v>
      </c>
      <c r="H33">
        <v>1900</v>
      </c>
      <c r="I33">
        <v>0</v>
      </c>
      <c r="J33">
        <v>1000</v>
      </c>
      <c r="K33">
        <v>900</v>
      </c>
      <c r="L33">
        <v>0.6</v>
      </c>
      <c r="M33" t="s">
        <v>45</v>
      </c>
      <c r="N33">
        <v>600</v>
      </c>
    </row>
    <row r="34" spans="1:14" x14ac:dyDescent="0.3">
      <c r="A34">
        <v>33</v>
      </c>
      <c r="B34" s="35">
        <v>45813</v>
      </c>
      <c r="C34" t="s">
        <v>14</v>
      </c>
      <c r="D34" t="s">
        <v>27</v>
      </c>
      <c r="E34" t="s">
        <v>28</v>
      </c>
      <c r="F34" t="s">
        <v>29</v>
      </c>
      <c r="G34">
        <v>2000</v>
      </c>
      <c r="H34">
        <v>450</v>
      </c>
      <c r="I34">
        <v>5000</v>
      </c>
      <c r="J34">
        <v>2000</v>
      </c>
      <c r="K34">
        <v>3450</v>
      </c>
      <c r="L34">
        <v>1.7250000000000001</v>
      </c>
      <c r="M34" t="s">
        <v>46</v>
      </c>
      <c r="N34" t="s">
        <v>47</v>
      </c>
    </row>
    <row r="35" spans="1:14" x14ac:dyDescent="0.3">
      <c r="A35">
        <v>34</v>
      </c>
      <c r="B35" s="35">
        <v>45813</v>
      </c>
      <c r="C35" t="s">
        <v>14</v>
      </c>
      <c r="D35" t="s">
        <v>30</v>
      </c>
      <c r="E35" t="s">
        <v>31</v>
      </c>
      <c r="F35" t="s">
        <v>32</v>
      </c>
      <c r="G35">
        <v>800</v>
      </c>
      <c r="H35">
        <v>750</v>
      </c>
      <c r="I35">
        <v>500</v>
      </c>
      <c r="J35">
        <v>500</v>
      </c>
      <c r="K35">
        <v>750</v>
      </c>
      <c r="L35">
        <v>0.9375</v>
      </c>
      <c r="M35" t="s">
        <v>45</v>
      </c>
      <c r="N35">
        <v>50</v>
      </c>
    </row>
    <row r="36" spans="1:14" x14ac:dyDescent="0.3">
      <c r="A36">
        <v>35</v>
      </c>
      <c r="B36" s="35">
        <v>45813</v>
      </c>
      <c r="C36" t="s">
        <v>14</v>
      </c>
      <c r="D36" t="s">
        <v>33</v>
      </c>
      <c r="E36" t="s">
        <v>34</v>
      </c>
      <c r="F36" t="s">
        <v>35</v>
      </c>
      <c r="G36">
        <v>300</v>
      </c>
      <c r="H36">
        <v>400</v>
      </c>
      <c r="I36">
        <v>0</v>
      </c>
      <c r="J36">
        <v>250</v>
      </c>
      <c r="K36">
        <v>150</v>
      </c>
      <c r="L36">
        <v>0.5</v>
      </c>
      <c r="M36" t="s">
        <v>45</v>
      </c>
      <c r="N36">
        <v>150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9A45F-37E3-42A4-AACA-C45F170C1FD8}">
  <dimension ref="A3:H11"/>
  <sheetViews>
    <sheetView showGridLines="0" workbookViewId="0">
      <selection activeCell="G19" sqref="G19"/>
    </sheetView>
  </sheetViews>
  <sheetFormatPr defaultRowHeight="14.4" x14ac:dyDescent="0.3"/>
  <cols>
    <col min="1" max="1" width="12.44140625" bestFit="1" customWidth="1"/>
    <col min="2" max="2" width="17.5546875" bestFit="1" customWidth="1"/>
    <col min="4" max="4" width="15.44140625" bestFit="1" customWidth="1"/>
    <col min="5" max="5" width="21.5546875" bestFit="1" customWidth="1"/>
    <col min="7" max="7" width="26.21875" bestFit="1" customWidth="1"/>
    <col min="8" max="8" width="20" bestFit="1" customWidth="1"/>
  </cols>
  <sheetData>
    <row r="3" spans="1:8" x14ac:dyDescent="0.3">
      <c r="A3" s="34" t="s">
        <v>1</v>
      </c>
      <c r="B3" t="s">
        <v>39</v>
      </c>
      <c r="D3" s="34" t="s">
        <v>40</v>
      </c>
      <c r="E3" t="s">
        <v>41</v>
      </c>
      <c r="G3" s="34" t="s">
        <v>42</v>
      </c>
      <c r="H3" t="s">
        <v>43</v>
      </c>
    </row>
    <row r="4" spans="1:8" x14ac:dyDescent="0.3">
      <c r="A4" s="31">
        <v>45809</v>
      </c>
      <c r="B4" s="32">
        <v>4.354166666666667</v>
      </c>
      <c r="D4" s="33" t="s">
        <v>15</v>
      </c>
      <c r="E4">
        <v>675</v>
      </c>
      <c r="G4" s="33" t="s">
        <v>16</v>
      </c>
      <c r="H4">
        <v>650</v>
      </c>
    </row>
    <row r="5" spans="1:8" x14ac:dyDescent="0.3">
      <c r="A5" s="31">
        <v>45810</v>
      </c>
      <c r="B5" s="32">
        <v>9.3375000000000004</v>
      </c>
      <c r="D5" s="33" t="s">
        <v>18</v>
      </c>
      <c r="E5">
        <v>2000</v>
      </c>
      <c r="G5" s="33" t="s">
        <v>22</v>
      </c>
      <c r="H5">
        <v>4000</v>
      </c>
    </row>
    <row r="6" spans="1:8" x14ac:dyDescent="0.3">
      <c r="A6" s="31">
        <v>45811</v>
      </c>
      <c r="B6" s="32">
        <v>5.7958333333333334</v>
      </c>
      <c r="D6" s="33" t="s">
        <v>21</v>
      </c>
      <c r="E6">
        <v>3950</v>
      </c>
      <c r="G6" s="33" t="s">
        <v>28</v>
      </c>
      <c r="H6">
        <v>9000</v>
      </c>
    </row>
    <row r="7" spans="1:8" x14ac:dyDescent="0.3">
      <c r="A7" s="31">
        <v>45812</v>
      </c>
      <c r="B7" s="32">
        <v>9.1124999999999989</v>
      </c>
      <c r="D7" s="33" t="s">
        <v>24</v>
      </c>
      <c r="E7">
        <v>5100</v>
      </c>
      <c r="G7" s="33" t="s">
        <v>34</v>
      </c>
      <c r="H7">
        <v>1750</v>
      </c>
    </row>
    <row r="8" spans="1:8" x14ac:dyDescent="0.3">
      <c r="A8" s="31">
        <v>45813</v>
      </c>
      <c r="B8" s="32">
        <v>5.3125</v>
      </c>
      <c r="D8" s="33" t="s">
        <v>27</v>
      </c>
      <c r="E8">
        <v>7050</v>
      </c>
      <c r="G8" s="33" t="s">
        <v>25</v>
      </c>
      <c r="H8">
        <v>4500</v>
      </c>
    </row>
    <row r="9" spans="1:8" x14ac:dyDescent="0.3">
      <c r="A9" s="31" t="s">
        <v>44</v>
      </c>
      <c r="B9" s="32">
        <v>33.912500000000001</v>
      </c>
      <c r="D9" s="33" t="s">
        <v>30</v>
      </c>
      <c r="E9">
        <v>4250</v>
      </c>
      <c r="G9" s="33" t="s">
        <v>31</v>
      </c>
      <c r="H9">
        <v>4000</v>
      </c>
    </row>
    <row r="10" spans="1:8" x14ac:dyDescent="0.3">
      <c r="D10" s="33" t="s">
        <v>33</v>
      </c>
      <c r="E10">
        <v>1850</v>
      </c>
      <c r="G10" s="33" t="s">
        <v>19</v>
      </c>
      <c r="H10">
        <v>1650</v>
      </c>
    </row>
    <row r="11" spans="1:8" x14ac:dyDescent="0.3">
      <c r="D11" s="33" t="s">
        <v>44</v>
      </c>
      <c r="E11">
        <v>24875</v>
      </c>
      <c r="G11" s="33" t="s">
        <v>44</v>
      </c>
      <c r="H11">
        <v>25550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63CE5-2794-4B21-A897-8502D33222A9}">
  <dimension ref="A1"/>
  <sheetViews>
    <sheetView showGridLines="0" tabSelected="1" workbookViewId="0">
      <selection activeCell="X10" sqref="X10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59976A1-E7F2-4070-B643-C5120913CC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data </vt:lpstr>
      <vt:lpstr>Unclear data</vt:lpstr>
      <vt:lpstr>Clear Data using power queries</vt:lpstr>
      <vt:lpstr>Pivot tables</vt:lpstr>
      <vt:lpstr>All chats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Taposi Howlader</dc:creator>
  <cp:lastModifiedBy>Taposi Howlader</cp:lastModifiedBy>
  <dcterms:created xsi:type="dcterms:W3CDTF">2025-06-23T05:55:58Z</dcterms:created>
  <dcterms:modified xsi:type="dcterms:W3CDTF">2025-06-23T06:14:02Z</dcterms:modified>
</cp:coreProperties>
</file>