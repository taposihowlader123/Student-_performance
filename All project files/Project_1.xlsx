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C:\Users\Taposi howlader\Documents\All project files\"/>
    </mc:Choice>
  </mc:AlternateContent>
  <xr:revisionPtr revIDLastSave="0" documentId="13_ncr:1_{0B10B239-6C0D-4944-AB96-195415EB4A4F}" xr6:coauthVersionLast="47" xr6:coauthVersionMax="47" xr10:uidLastSave="{00000000-0000-0000-0000-000000000000}"/>
  <bookViews>
    <workbookView xWindow="-108" yWindow="-108" windowWidth="23256" windowHeight="12456" activeTab="4" xr2:uid="{0700DBB9-10D7-49DC-87A2-FF077C0C67F2}"/>
  </bookViews>
  <sheets>
    <sheet name="Monthly Sales Data " sheetId="1" r:id="rId1"/>
    <sheet name="Customer Data" sheetId="6" r:id="rId2"/>
    <sheet name="Pivot Table Sheet" sheetId="2" r:id="rId3"/>
    <sheet name="Chart_Sheet" sheetId="3" r:id="rId4"/>
    <sheet name="Dashboard" sheetId="4" r:id="rId5"/>
  </sheets>
  <definedNames>
    <definedName name="Slicer_Customer_Name">#N/A</definedName>
    <definedName name="Slicer_Date">#N/A</definedName>
    <definedName name="Slicer_Product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 r="G37" i="1"/>
  <c r="G38" i="1" s="1"/>
  <c r="G39" i="1" s="1"/>
  <c r="G40" i="1" s="1"/>
  <c r="G45" i="1"/>
  <c r="G46" i="1" s="1"/>
  <c r="G8" i="1"/>
  <c r="R7" i="2"/>
  <c r="R4" i="2"/>
  <c r="R5" i="2"/>
  <c r="R6" i="2"/>
</calcChain>
</file>

<file path=xl/sharedStrings.xml><?xml version="1.0" encoding="utf-8"?>
<sst xmlns="http://schemas.openxmlformats.org/spreadsheetml/2006/main" count="662" uniqueCount="132">
  <si>
    <t>Order ID</t>
  </si>
  <si>
    <t>Date</t>
  </si>
  <si>
    <t>Customer Id</t>
  </si>
  <si>
    <t>Customer Name</t>
  </si>
  <si>
    <t>Region</t>
  </si>
  <si>
    <t>Product Code</t>
  </si>
  <si>
    <t>Product Category</t>
  </si>
  <si>
    <t>Discount</t>
  </si>
  <si>
    <t>Total Sales</t>
  </si>
  <si>
    <t>Customer Segment</t>
  </si>
  <si>
    <t>Suresh Sharma</t>
  </si>
  <si>
    <t>PCG</t>
  </si>
  <si>
    <t>Clothing</t>
  </si>
  <si>
    <t>Existing</t>
  </si>
  <si>
    <t>Rushikesh Bajaj</t>
  </si>
  <si>
    <t>Mumbai</t>
  </si>
  <si>
    <t>ELC</t>
  </si>
  <si>
    <t>Electronics</t>
  </si>
  <si>
    <t>Premium</t>
  </si>
  <si>
    <t>Delhi</t>
  </si>
  <si>
    <t>GCR</t>
  </si>
  <si>
    <t>Groceries</t>
  </si>
  <si>
    <t>Febi Varughese</t>
  </si>
  <si>
    <t>FRU</t>
  </si>
  <si>
    <t>Furniture</t>
  </si>
  <si>
    <t>Kolkata</t>
  </si>
  <si>
    <t>HSG</t>
  </si>
  <si>
    <t>Home Goods</t>
  </si>
  <si>
    <t>Budget</t>
  </si>
  <si>
    <t>Mohan Singhal</t>
  </si>
  <si>
    <t>HAB</t>
  </si>
  <si>
    <t>Health and Beauty</t>
  </si>
  <si>
    <t>Sanjay Patel</t>
  </si>
  <si>
    <t>New</t>
  </si>
  <si>
    <t>Ritika Anand</t>
  </si>
  <si>
    <t>Ajay Kumar</t>
  </si>
  <si>
    <t>Suyash Maheshwari</t>
  </si>
  <si>
    <t>Manali Shenoy</t>
  </si>
  <si>
    <t>Chennai</t>
  </si>
  <si>
    <t>Sujit Ghosh</t>
  </si>
  <si>
    <t>Fardeen Khan</t>
  </si>
  <si>
    <t>Raj Mukherjee</t>
  </si>
  <si>
    <t>Ninad Sathe</t>
  </si>
  <si>
    <t>Karthik Krishnan</t>
  </si>
  <si>
    <t>Gaurav Chaudhary</t>
  </si>
  <si>
    <t>Avijit Biswas</t>
  </si>
  <si>
    <t>Gurleen Singh</t>
  </si>
  <si>
    <t>Somya Prahladka</t>
  </si>
  <si>
    <t>Ramnath Krishnamoorthy</t>
  </si>
  <si>
    <t>Nupur Sanyal</t>
  </si>
  <si>
    <t>Nishita Thaker</t>
  </si>
  <si>
    <t>Karthic Venkatasamy</t>
  </si>
  <si>
    <t>Varun Mittal</t>
  </si>
  <si>
    <t>Narayan Garg</t>
  </si>
  <si>
    <t>Bikram Saha</t>
  </si>
  <si>
    <t>Nikhil Anand</t>
  </si>
  <si>
    <t>Vishnu Rajendran</t>
  </si>
  <si>
    <t>Snehanshu Sinha</t>
  </si>
  <si>
    <t>Subhra Basu</t>
  </si>
  <si>
    <t>Ankit Khadaria</t>
  </si>
  <si>
    <t>Deep Dutta</t>
  </si>
  <si>
    <t>Souptik Chatterjee</t>
  </si>
  <si>
    <t>Shubhangi Sawant</t>
  </si>
  <si>
    <t>Anisha Mathran</t>
  </si>
  <si>
    <t>Rajkanya Chikte</t>
  </si>
  <si>
    <t>Kanika Mittal</t>
  </si>
  <si>
    <t>Rauniqa Singh</t>
  </si>
  <si>
    <t>Aziz Khan</t>
  </si>
  <si>
    <t>Ashima Dhawan</t>
  </si>
  <si>
    <t>Sachin Tyagi</t>
  </si>
  <si>
    <t>Vijaya Krishnan</t>
  </si>
  <si>
    <t>Rajat Ganguly</t>
  </si>
  <si>
    <t>Nitin Saini</t>
  </si>
  <si>
    <t>Shubham Garg</t>
  </si>
  <si>
    <t>Rijaul Islam</t>
  </si>
  <si>
    <t>Noor Ali</t>
  </si>
  <si>
    <t>Jatin Jain</t>
  </si>
  <si>
    <t>Ayush Gupta</t>
  </si>
  <si>
    <t>Shekhar Goenka</t>
  </si>
  <si>
    <t>Giyasuddin Rehman</t>
  </si>
  <si>
    <t>Samyak Jain</t>
  </si>
  <si>
    <t>Sonu Gupta</t>
  </si>
  <si>
    <t>Rishi Sachdeva</t>
  </si>
  <si>
    <t>Armaan Suri</t>
  </si>
  <si>
    <t>Rajshree Lohia</t>
  </si>
  <si>
    <t>Manohar Naravne</t>
  </si>
  <si>
    <t>Rewati Sarang</t>
  </si>
  <si>
    <t>Pooja Mehta</t>
  </si>
  <si>
    <t>Krishna Bahadur</t>
  </si>
  <si>
    <t>Gunjan Goenka</t>
  </si>
  <si>
    <t>Anita Pradhan</t>
  </si>
  <si>
    <t>Balwinder Singh</t>
  </si>
  <si>
    <t>Niladri Basu</t>
  </si>
  <si>
    <t>Piyush Agarwal</t>
  </si>
  <si>
    <t>Vikas Parikh</t>
  </si>
  <si>
    <t>Vignesh Rangarajan</t>
  </si>
  <si>
    <t>Abhilasha Kumari</t>
  </si>
  <si>
    <t>Ramakant Upade</t>
  </si>
  <si>
    <t>Nishikant Singh</t>
  </si>
  <si>
    <t>Riju Modi</t>
  </si>
  <si>
    <t>Mohit Kohli</t>
  </si>
  <si>
    <t>Chandni Jain</t>
  </si>
  <si>
    <t>Sima Nag</t>
  </si>
  <si>
    <t>Etika Jain</t>
  </si>
  <si>
    <t>Nadim Rauf</t>
  </si>
  <si>
    <t>Ramkumar Krishnamurti</t>
  </si>
  <si>
    <t>Moni Gupta</t>
  </si>
  <si>
    <t>Kanupriya Dalmia</t>
  </si>
  <si>
    <t>Chandrarup Raychowdhury</t>
  </si>
  <si>
    <t>Rohan Krishan</t>
  </si>
  <si>
    <t>Mary Kurien</t>
  </si>
  <si>
    <t>Samuel D'Silva</t>
  </si>
  <si>
    <t>Surajit Sinha</t>
  </si>
  <si>
    <t>Grand Total</t>
  </si>
  <si>
    <t>Sum of Total Sales</t>
  </si>
  <si>
    <t xml:space="preserve">Customer Segmentaion </t>
  </si>
  <si>
    <t>Total_Sales</t>
  </si>
  <si>
    <t xml:space="preserve">Product Category </t>
  </si>
  <si>
    <t xml:space="preserve">Region </t>
  </si>
  <si>
    <t xml:space="preserve">Date </t>
  </si>
  <si>
    <t>%</t>
  </si>
  <si>
    <t>Segment</t>
  </si>
  <si>
    <t>April Purchase</t>
  </si>
  <si>
    <t>March Purchase</t>
  </si>
  <si>
    <t>February Purchase</t>
  </si>
  <si>
    <t>January Purchase</t>
  </si>
  <si>
    <t>Total</t>
  </si>
  <si>
    <t>Average</t>
  </si>
  <si>
    <t>surajit sinha</t>
  </si>
  <si>
    <t>Samuel D'silva</t>
  </si>
  <si>
    <t>May Purchase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</si>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</sst>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0"/>
      <color rgb="FF001D35"/>
      <name val="Arial"/>
      <family val="2"/>
    </font>
    <font>
      <sz val="10"/>
      <color theme="1"/>
      <name val="Arial"/>
      <family val="2"/>
    </font>
    <font>
      <sz val="12"/>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4" tint="0.79998168889431442"/>
        <bgColor theme="4" tint="0.79998168889431442"/>
      </patternFill>
    </fill>
    <fill>
      <patternFill patternType="solid">
        <fgColor theme="0"/>
        <bgColor indexed="64"/>
      </patternFill>
    </fill>
  </fills>
  <borders count="16">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theme="4" tint="0.39997558519241921"/>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1" fontId="3" fillId="2" borderId="2" xfId="0" applyNumberFormat="1" applyFont="1" applyFill="1" applyBorder="1" applyAlignment="1">
      <alignment horizontal="center" vertical="center"/>
    </xf>
    <xf numFmtId="0" fontId="3" fillId="2" borderId="3" xfId="0" applyFont="1" applyFill="1" applyBorder="1" applyAlignment="1">
      <alignment horizontal="center" vertical="center"/>
    </xf>
    <xf numFmtId="0" fontId="4" fillId="0" borderId="4" xfId="0" applyFont="1" applyBorder="1" applyAlignment="1">
      <alignment horizontal="center" vertical="center"/>
    </xf>
    <xf numFmtId="14" fontId="4" fillId="0" borderId="5" xfId="0" applyNumberFormat="1" applyFont="1" applyBorder="1" applyAlignment="1">
      <alignment horizontal="center" vertical="center"/>
    </xf>
    <xf numFmtId="1" fontId="4" fillId="0" borderId="5" xfId="0" applyNumberFormat="1" applyFont="1" applyBorder="1" applyAlignment="1">
      <alignment horizontal="center" vertical="center"/>
    </xf>
    <xf numFmtId="0" fontId="4" fillId="0" borderId="5" xfId="0" applyFont="1" applyBorder="1" applyAlignment="1">
      <alignment horizontal="center" vertical="center"/>
    </xf>
    <xf numFmtId="164" fontId="4" fillId="0" borderId="5" xfId="0" applyNumberFormat="1"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14" fontId="4" fillId="0" borderId="8" xfId="0" applyNumberFormat="1" applyFont="1" applyBorder="1" applyAlignment="1">
      <alignment horizontal="center" vertical="center"/>
    </xf>
    <xf numFmtId="1" fontId="4" fillId="0" borderId="8" xfId="0" applyNumberFormat="1" applyFont="1" applyBorder="1" applyAlignment="1">
      <alignment horizontal="center" vertical="center"/>
    </xf>
    <xf numFmtId="0" fontId="4" fillId="0" borderId="8" xfId="0" applyFont="1" applyBorder="1" applyAlignment="1">
      <alignment horizontal="center" vertical="center"/>
    </xf>
    <xf numFmtId="164" fontId="4" fillId="0" borderId="8" xfId="0" applyNumberFormat="1" applyFont="1" applyBorder="1" applyAlignment="1">
      <alignment horizontal="center" vertical="center"/>
    </xf>
    <xf numFmtId="0" fontId="4" fillId="0" borderId="9" xfId="0" applyFont="1" applyBorder="1" applyAlignment="1">
      <alignment horizontal="center" vertical="center"/>
    </xf>
    <xf numFmtId="164" fontId="4" fillId="0" borderId="11" xfId="0" applyNumberFormat="1" applyFont="1" applyBorder="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2" fillId="3" borderId="13" xfId="0" applyFont="1" applyFill="1" applyBorder="1"/>
    <xf numFmtId="14" fontId="0" fillId="0" borderId="0" xfId="0" applyNumberFormat="1" applyAlignment="1">
      <alignment horizontal="left"/>
    </xf>
    <xf numFmtId="9" fontId="0" fillId="0" borderId="8" xfId="1" applyFont="1" applyBorder="1"/>
    <xf numFmtId="1" fontId="3" fillId="2" borderId="14" xfId="0" applyNumberFormat="1" applyFont="1" applyFill="1" applyBorder="1" applyAlignment="1">
      <alignment horizontal="center" vertical="center"/>
    </xf>
    <xf numFmtId="0" fontId="3" fillId="2" borderId="15" xfId="0" applyFont="1" applyFill="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164" fontId="4" fillId="0" borderId="4" xfId="0" applyNumberFormat="1" applyFont="1" applyBorder="1" applyAlignment="1">
      <alignment horizontal="center" vertical="center"/>
    </xf>
    <xf numFmtId="164" fontId="4" fillId="0" borderId="6" xfId="0" applyNumberFormat="1" applyFont="1"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64" fontId="4" fillId="0" borderId="7" xfId="0" applyNumberFormat="1" applyFont="1" applyBorder="1" applyAlignment="1">
      <alignment horizontal="center" vertical="center"/>
    </xf>
    <xf numFmtId="164" fontId="4" fillId="0" borderId="9" xfId="0" applyNumberFormat="1" applyFont="1" applyBorder="1" applyAlignment="1">
      <alignment horizontal="center" vertic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164" fontId="4" fillId="0" borderId="10" xfId="0" applyNumberFormat="1" applyFont="1" applyBorder="1" applyAlignment="1">
      <alignment horizontal="center" vertical="center"/>
    </xf>
    <xf numFmtId="164" fontId="4" fillId="0" borderId="12" xfId="0" applyNumberFormat="1" applyFont="1" applyBorder="1" applyAlignment="1">
      <alignment horizontal="center" vertical="center"/>
    </xf>
    <xf numFmtId="0" fontId="5" fillId="0" borderId="0" xfId="0" applyFont="1"/>
    <xf numFmtId="16" fontId="0" fillId="0" borderId="0" xfId="0" applyNumberFormat="1" applyAlignment="1">
      <alignment horizontal="left"/>
    </xf>
    <xf numFmtId="0" fontId="0" fillId="4" borderId="0" xfId="0" applyFill="1"/>
  </cellXfs>
  <cellStyles count="2">
    <cellStyle name="Normal" xfId="0" builtinId="0"/>
    <cellStyle name="Percent" xfId="1" builtinId="5"/>
  </cellStyles>
  <dxfs count="9">
    <dxf>
      <numFmt numFmtId="21" formatCode="dd/mmm"/>
    </dxf>
    <dxf>
      <numFmt numFmtId="21" formatCode="dd/mmm"/>
    </dxf>
    <dxf>
      <numFmt numFmtId="21" formatCode="dd/mmm"/>
    </dxf>
    <dxf>
      <numFmt numFmtId="21" formatCode="dd/mmm"/>
    </dxf>
    <dxf>
      <numFmt numFmtId="21" formatCode="dd/mmm"/>
    </dxf>
    <dxf>
      <numFmt numFmtId="21" formatCode="dd/mmm"/>
    </dxf>
    <dxf>
      <numFmt numFmtId="21" formatCode="dd/mmm"/>
    </dxf>
    <dxf>
      <numFmt numFmtId="21" formatCode="dd/mmm"/>
    </dxf>
    <dxf>
      <numFmt numFmtId="21" formatCode="dd/mmm"/>
    </dxf>
  </dxfs>
  <tableStyles count="0" defaultTableStyle="TableStyleMedium2" defaultPivotStyle="PivotStyleLight16"/>
  <colors>
    <mruColors>
      <color rgb="FFFF33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 Table Sheet!PivotTable1</c:name>
    <c:fmtId val="20"/>
  </c:pivotSource>
  <c:chart>
    <c:title>
      <c:tx>
        <c:rich>
          <a:bodyPr rot="0" spcFirstLastPara="1" vertOverflow="ellipsis" vert="horz" wrap="square" anchor="ctr" anchorCtr="1"/>
          <a:lstStyle/>
          <a:p>
            <a:pPr>
              <a:defRPr sz="1800" b="1" i="0" u="none" strike="noStrike" kern="1200" spc="0" baseline="0">
                <a:solidFill>
                  <a:schemeClr val="accent5"/>
                </a:solidFill>
                <a:latin typeface="+mn-lt"/>
                <a:ea typeface="+mn-ea"/>
                <a:cs typeface="+mn-cs"/>
              </a:defRPr>
            </a:pPr>
            <a:r>
              <a:rPr lang="en-US" sz="1800" b="1">
                <a:solidFill>
                  <a:schemeClr val="accent5"/>
                </a:solidFill>
              </a:rPr>
              <a:t>Region Wise Total Sales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0.12235375698519613"/>
              <c:y val="-8.6059689558672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1.8280320381639067E-2"/>
              <c:y val="-9.9304722671255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1.8280320381639067E-2"/>
              <c:y val="-9.9304722671255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0.12235375698519613"/>
              <c:y val="-8.6059689558672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1.8280320381639067E-2"/>
              <c:y val="-9.93047226712555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0.12235375698519613"/>
              <c:y val="-8.60596895586727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Sheet'!$B$3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F69B-431F-9A5B-68C5173D3683}"/>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F69B-431F-9A5B-68C5173D3683}"/>
              </c:ext>
            </c:extLst>
          </c:dPt>
          <c:dLbls>
            <c:dLbl>
              <c:idx val="0"/>
              <c:layout>
                <c:manualLayout>
                  <c:x val="-1.8280320381639067E-2"/>
                  <c:y val="-9.93047226712555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69B-431F-9A5B-68C5173D3683}"/>
                </c:ext>
              </c:extLst>
            </c:dLbl>
            <c:dLbl>
              <c:idx val="1"/>
              <c:layout>
                <c:manualLayout>
                  <c:x val="-0.12235375698519613"/>
                  <c:y val="-8.60596895586727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9B-431F-9A5B-68C5173D36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Sheet'!$A$4:$A$9</c:f>
              <c:strCache>
                <c:ptCount val="5"/>
                <c:pt idx="0">
                  <c:v>Chennai</c:v>
                </c:pt>
                <c:pt idx="1">
                  <c:v>Delhi</c:v>
                </c:pt>
                <c:pt idx="2">
                  <c:v>Kolkata</c:v>
                </c:pt>
                <c:pt idx="3">
                  <c:v>Mumbai</c:v>
                </c:pt>
                <c:pt idx="4">
                  <c:v>(blank)</c:v>
                </c:pt>
              </c:strCache>
            </c:strRef>
          </c:cat>
          <c:val>
            <c:numRef>
              <c:f>'Pivot Table Sheet'!$B$4:$B$9</c:f>
              <c:numCache>
                <c:formatCode>"₹"\ #,##0.00</c:formatCode>
                <c:ptCount val="5"/>
                <c:pt idx="0">
                  <c:v>547633.25</c:v>
                </c:pt>
                <c:pt idx="1">
                  <c:v>1123208.5</c:v>
                </c:pt>
                <c:pt idx="2">
                  <c:v>1064850</c:v>
                </c:pt>
                <c:pt idx="3">
                  <c:v>1453800</c:v>
                </c:pt>
              </c:numCache>
            </c:numRef>
          </c:val>
          <c:smooth val="0"/>
          <c:extLst>
            <c:ext xmlns:c16="http://schemas.microsoft.com/office/drawing/2014/chart" uri="{C3380CC4-5D6E-409C-BE32-E72D297353CC}">
              <c16:uniqueId val="{00000002-F69B-431F-9A5B-68C5173D3683}"/>
            </c:ext>
          </c:extLst>
        </c:ser>
        <c:dLbls>
          <c:dLblPos val="t"/>
          <c:showLegendKey val="0"/>
          <c:showVal val="1"/>
          <c:showCatName val="0"/>
          <c:showSerName val="0"/>
          <c:showPercent val="0"/>
          <c:showBubbleSize val="0"/>
        </c:dLbls>
        <c:smooth val="0"/>
        <c:axId val="1765716192"/>
        <c:axId val="1765713312"/>
      </c:lineChart>
      <c:catAx>
        <c:axId val="1765716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340000" spcFirstLastPara="1" vertOverflow="ellipsis" wrap="square" anchor="t" anchorCtr="0"/>
          <a:lstStyle/>
          <a:p>
            <a:pPr>
              <a:defRPr sz="1400" b="1" i="0" u="none" strike="noStrike" kern="1200" baseline="0">
                <a:solidFill>
                  <a:schemeClr val="tx1"/>
                </a:solidFill>
                <a:latin typeface="+mn-lt"/>
                <a:ea typeface="+mn-ea"/>
                <a:cs typeface="+mn-cs"/>
              </a:defRPr>
            </a:pPr>
            <a:endParaRPr lang="en-US"/>
          </a:p>
        </c:txPr>
        <c:crossAx val="1765713312"/>
        <c:crosses val="autoZero"/>
        <c:auto val="1"/>
        <c:lblAlgn val="ctr"/>
        <c:lblOffset val="100"/>
        <c:noMultiLvlLbl val="0"/>
      </c:catAx>
      <c:valAx>
        <c:axId val="1765713312"/>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657161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 Table Sheet!PivotTable2</c:name>
    <c:fmtId val="17"/>
  </c:pivotSource>
  <c:chart>
    <c:title>
      <c:tx>
        <c:rich>
          <a:bodyPr rot="0" spcFirstLastPara="1" vertOverflow="ellipsis" vert="horz" wrap="square" anchor="ctr" anchorCtr="1"/>
          <a:lstStyle/>
          <a:p>
            <a:pPr>
              <a:defRPr sz="1800" b="1" i="0" u="none" strike="noStrike" kern="1200" spc="0" baseline="0">
                <a:solidFill>
                  <a:schemeClr val="accent5"/>
                </a:solidFill>
                <a:latin typeface="+mn-lt"/>
                <a:ea typeface="+mn-ea"/>
                <a:cs typeface="+mn-cs"/>
              </a:defRPr>
            </a:pPr>
            <a:r>
              <a:rPr lang="en-US" sz="1800" b="1">
                <a:solidFill>
                  <a:schemeClr val="accent5"/>
                </a:solidFill>
              </a:rPr>
              <a:t>Product Wise Total Sales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0.1346240033675036"/>
              <c:y val="-0.13183104057518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7.4351466679872566E-2"/>
              <c:y val="-0.149124598724770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0.14130639330461062"/>
              <c:y val="-4.5363249827234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0.1346240033675036"/>
              <c:y val="-0.13183104057518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0.14130639330461062"/>
              <c:y val="-4.5363249827234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7.4351466679872566E-2"/>
              <c:y val="-0.149124598724770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0.1346240033675036"/>
              <c:y val="-0.13183104057518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0.14130639330461062"/>
              <c:y val="-4.5363249827234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7.4351466679872566E-2"/>
              <c:y val="-0.149124598724770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Sheet'!$E$3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4217-4374-B22A-4E4447685AEE}"/>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1-4217-4374-B22A-4E4447685AEE}"/>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2-4217-4374-B22A-4E4447685AEE}"/>
              </c:ext>
            </c:extLst>
          </c:dPt>
          <c:dLbls>
            <c:dLbl>
              <c:idx val="1"/>
              <c:layout>
                <c:manualLayout>
                  <c:x val="-0.1346240033675036"/>
                  <c:y val="-0.131831040575181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17-4374-B22A-4E4447685AEE}"/>
                </c:ext>
              </c:extLst>
            </c:dLbl>
            <c:dLbl>
              <c:idx val="3"/>
              <c:layout>
                <c:manualLayout>
                  <c:x val="-0.14130639330461062"/>
                  <c:y val="-4.53632498272346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17-4374-B22A-4E4447685AEE}"/>
                </c:ext>
              </c:extLst>
            </c:dLbl>
            <c:dLbl>
              <c:idx val="4"/>
              <c:layout>
                <c:manualLayout>
                  <c:x val="-7.4351466679872566E-2"/>
                  <c:y val="-0.1491245987247703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17-4374-B22A-4E4447685AE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Sheet'!$D$4:$D$11</c:f>
              <c:strCache>
                <c:ptCount val="7"/>
                <c:pt idx="0">
                  <c:v>Clothing</c:v>
                </c:pt>
                <c:pt idx="1">
                  <c:v>Electronics</c:v>
                </c:pt>
                <c:pt idx="2">
                  <c:v>Furniture</c:v>
                </c:pt>
                <c:pt idx="3">
                  <c:v>Groceries</c:v>
                </c:pt>
                <c:pt idx="4">
                  <c:v>Health and Beauty</c:v>
                </c:pt>
                <c:pt idx="5">
                  <c:v>Home Goods</c:v>
                </c:pt>
                <c:pt idx="6">
                  <c:v>(blank)</c:v>
                </c:pt>
              </c:strCache>
            </c:strRef>
          </c:cat>
          <c:val>
            <c:numRef>
              <c:f>'Pivot Table Sheet'!$E$4:$E$11</c:f>
              <c:numCache>
                <c:formatCode>"₹"\ #,##0.00</c:formatCode>
                <c:ptCount val="7"/>
                <c:pt idx="0">
                  <c:v>45850</c:v>
                </c:pt>
                <c:pt idx="1">
                  <c:v>469018.25</c:v>
                </c:pt>
                <c:pt idx="2">
                  <c:v>1902555</c:v>
                </c:pt>
                <c:pt idx="3">
                  <c:v>41059.5</c:v>
                </c:pt>
                <c:pt idx="4">
                  <c:v>110219</c:v>
                </c:pt>
                <c:pt idx="5">
                  <c:v>1620790</c:v>
                </c:pt>
              </c:numCache>
            </c:numRef>
          </c:val>
          <c:smooth val="0"/>
          <c:extLst>
            <c:ext xmlns:c16="http://schemas.microsoft.com/office/drawing/2014/chart" uri="{C3380CC4-5D6E-409C-BE32-E72D297353CC}">
              <c16:uniqueId val="{00000003-4217-4374-B22A-4E4447685AEE}"/>
            </c:ext>
          </c:extLst>
        </c:ser>
        <c:dLbls>
          <c:dLblPos val="t"/>
          <c:showLegendKey val="0"/>
          <c:showVal val="1"/>
          <c:showCatName val="0"/>
          <c:showSerName val="0"/>
          <c:showPercent val="0"/>
          <c:showBubbleSize val="0"/>
        </c:dLbls>
        <c:smooth val="0"/>
        <c:axId val="528732432"/>
        <c:axId val="528730512"/>
      </c:lineChart>
      <c:catAx>
        <c:axId val="52873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30512"/>
        <c:crosses val="autoZero"/>
        <c:auto val="1"/>
        <c:lblAlgn val="ctr"/>
        <c:lblOffset val="100"/>
        <c:noMultiLvlLbl val="0"/>
      </c:catAx>
      <c:valAx>
        <c:axId val="52873051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873243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 Table Sheet!PivotTable3</c:name>
    <c:fmtId val="9"/>
  </c:pivotSource>
  <c:chart>
    <c:title>
      <c:tx>
        <c:rich>
          <a:bodyPr rot="0" spcFirstLastPara="1" vertOverflow="ellipsis" vert="horz" wrap="square" anchor="ctr" anchorCtr="1"/>
          <a:lstStyle/>
          <a:p>
            <a:pPr>
              <a:defRPr sz="1800" b="1" i="0" u="none" strike="noStrike" kern="1200" spc="0" baseline="0">
                <a:solidFill>
                  <a:schemeClr val="accent5"/>
                </a:solidFill>
                <a:latin typeface="+mn-lt"/>
                <a:ea typeface="+mn-ea"/>
                <a:cs typeface="+mn-cs"/>
              </a:defRPr>
            </a:pPr>
            <a:r>
              <a:rPr lang="en-US" sz="1800" b="1">
                <a:solidFill>
                  <a:schemeClr val="accent5"/>
                </a:solidFill>
              </a:rPr>
              <a:t>Customer Segmentation Wise Total Sales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4.547922134733158E-2"/>
              <c:y val="-0.149512439033547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0.1343681102362205"/>
              <c:y val="-0.123504636692845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0.1343681102362205"/>
              <c:y val="-0.123504636692845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4.547922134733158E-2"/>
              <c:y val="-0.149512439033547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0.1343681102362205"/>
              <c:y val="-0.123504636692845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4.547922134733158E-2"/>
              <c:y val="-0.149512439033547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Sheet'!$H$3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9DBC-4E01-90CF-59FE1DBBA71F}"/>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1-9DBC-4E01-90CF-59FE1DBBA71F}"/>
              </c:ext>
            </c:extLst>
          </c:dPt>
          <c:dLbls>
            <c:dLbl>
              <c:idx val="0"/>
              <c:layout>
                <c:manualLayout>
                  <c:x val="-0.1343681102362205"/>
                  <c:y val="-0.123504636692845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DBC-4E01-90CF-59FE1DBBA71F}"/>
                </c:ext>
              </c:extLst>
            </c:dLbl>
            <c:dLbl>
              <c:idx val="2"/>
              <c:layout>
                <c:manualLayout>
                  <c:x val="-4.547922134733158E-2"/>
                  <c:y val="-0.149512439033547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BC-4E01-90CF-59FE1DBBA71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Sheet'!$G$4:$G$8</c:f>
              <c:strCache>
                <c:ptCount val="4"/>
                <c:pt idx="0">
                  <c:v>Budget</c:v>
                </c:pt>
                <c:pt idx="1">
                  <c:v>Existing</c:v>
                </c:pt>
                <c:pt idx="2">
                  <c:v>New</c:v>
                </c:pt>
                <c:pt idx="3">
                  <c:v>Premium</c:v>
                </c:pt>
              </c:strCache>
            </c:strRef>
          </c:cat>
          <c:val>
            <c:numRef>
              <c:f>'Pivot Table Sheet'!$H$4:$H$8</c:f>
              <c:numCache>
                <c:formatCode>"₹"\ #,##0.00</c:formatCode>
                <c:ptCount val="4"/>
                <c:pt idx="0">
                  <c:v>434823.25</c:v>
                </c:pt>
                <c:pt idx="1">
                  <c:v>2184682</c:v>
                </c:pt>
                <c:pt idx="2">
                  <c:v>104044</c:v>
                </c:pt>
                <c:pt idx="3">
                  <c:v>1465942.5</c:v>
                </c:pt>
              </c:numCache>
            </c:numRef>
          </c:val>
          <c:smooth val="0"/>
          <c:extLst>
            <c:ext xmlns:c16="http://schemas.microsoft.com/office/drawing/2014/chart" uri="{C3380CC4-5D6E-409C-BE32-E72D297353CC}">
              <c16:uniqueId val="{00000002-9DBC-4E01-90CF-59FE1DBBA71F}"/>
            </c:ext>
          </c:extLst>
        </c:ser>
        <c:dLbls>
          <c:dLblPos val="t"/>
          <c:showLegendKey val="0"/>
          <c:showVal val="1"/>
          <c:showCatName val="0"/>
          <c:showSerName val="0"/>
          <c:showPercent val="0"/>
          <c:showBubbleSize val="0"/>
        </c:dLbls>
        <c:smooth val="0"/>
        <c:axId val="595301296"/>
        <c:axId val="595302256"/>
      </c:lineChart>
      <c:catAx>
        <c:axId val="59530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95302256"/>
        <c:crosses val="autoZero"/>
        <c:auto val="1"/>
        <c:lblAlgn val="ctr"/>
        <c:lblOffset val="100"/>
        <c:noMultiLvlLbl val="0"/>
      </c:catAx>
      <c:valAx>
        <c:axId val="59530225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95301296"/>
        <c:crosses val="autoZero"/>
        <c:crossBetween val="between"/>
      </c:valAx>
      <c:spPr>
        <a:solidFill>
          <a:schemeClr val="accent1">
            <a:lumMod val="20000"/>
            <a:lumOff val="80000"/>
          </a:schemeClr>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 Table Sheet!PivotTable4</c:name>
    <c:fmtId val="5"/>
  </c:pivotSource>
  <c:chart>
    <c:title>
      <c:tx>
        <c:rich>
          <a:bodyPr rot="0" spcFirstLastPara="1" vertOverflow="ellipsis" vert="horz" wrap="square" anchor="ctr" anchorCtr="1"/>
          <a:lstStyle/>
          <a:p>
            <a:pPr>
              <a:defRPr sz="2400" b="1" i="0" u="none" strike="noStrike" kern="1200" spc="0" baseline="0">
                <a:solidFill>
                  <a:schemeClr val="accent5"/>
                </a:solidFill>
                <a:latin typeface="+mn-lt"/>
                <a:ea typeface="+mn-ea"/>
                <a:cs typeface="+mn-cs"/>
              </a:defRPr>
            </a:pPr>
            <a:r>
              <a:rPr lang="en-US" sz="2400" b="1">
                <a:solidFill>
                  <a:schemeClr val="accent5"/>
                </a:solidFill>
              </a:rPr>
              <a:t>Date Wise Total Sales </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2.2036860633269196E-2"/>
              <c:y val="-3.57341043138470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3.0357730109360475E-3"/>
              <c:y val="-1.98434752180218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5.5473839501141299E-2"/>
              <c:y val="-6.75153625054976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8.993083874838636E-4"/>
              <c:y val="-7.54606770534102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6.3164755919704829E-2"/>
              <c:y val="-9.39997443318730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3.6431623983521677E-2"/>
              <c:y val="2.78284120694541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5.0332852590336853E-2"/>
              <c:y val="1.344030243078564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Sheet'!$K$3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6-DA5A-46DB-B4B0-24CA8C14B5C3}"/>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5-DA5A-46DB-B4B0-24CA8C14B5C3}"/>
              </c:ext>
            </c:extLst>
          </c:dPt>
          <c:dPt>
            <c:idx val="12"/>
            <c:marker>
              <c:symbol val="none"/>
            </c:marker>
            <c:bubble3D val="0"/>
            <c:spPr>
              <a:ln w="28575" cap="rnd">
                <a:solidFill>
                  <a:schemeClr val="accent1"/>
                </a:solidFill>
                <a:round/>
              </a:ln>
              <a:effectLst/>
            </c:spPr>
            <c:extLst>
              <c:ext xmlns:c16="http://schemas.microsoft.com/office/drawing/2014/chart" uri="{C3380CC4-5D6E-409C-BE32-E72D297353CC}">
                <c16:uniqueId val="{00000002-DA5A-46DB-B4B0-24CA8C14B5C3}"/>
              </c:ext>
            </c:extLst>
          </c:dPt>
          <c:dPt>
            <c:idx val="13"/>
            <c:marker>
              <c:symbol val="none"/>
            </c:marker>
            <c:bubble3D val="0"/>
            <c:spPr>
              <a:ln w="28575" cap="rnd">
                <a:solidFill>
                  <a:schemeClr val="accent1"/>
                </a:solidFill>
                <a:round/>
              </a:ln>
              <a:effectLst/>
            </c:spPr>
            <c:extLst>
              <c:ext xmlns:c16="http://schemas.microsoft.com/office/drawing/2014/chart" uri="{C3380CC4-5D6E-409C-BE32-E72D297353CC}">
                <c16:uniqueId val="{00000004-DA5A-46DB-B4B0-24CA8C14B5C3}"/>
              </c:ext>
            </c:extLst>
          </c:dPt>
          <c:dPt>
            <c:idx val="15"/>
            <c:marker>
              <c:symbol val="none"/>
            </c:marker>
            <c:bubble3D val="0"/>
            <c:spPr>
              <a:ln w="28575" cap="rnd">
                <a:solidFill>
                  <a:schemeClr val="accent1"/>
                </a:solidFill>
                <a:round/>
              </a:ln>
              <a:effectLst/>
            </c:spPr>
            <c:extLst>
              <c:ext xmlns:c16="http://schemas.microsoft.com/office/drawing/2014/chart" uri="{C3380CC4-5D6E-409C-BE32-E72D297353CC}">
                <c16:uniqueId val="{00000001-DA5A-46DB-B4B0-24CA8C14B5C3}"/>
              </c:ext>
            </c:extLst>
          </c:dPt>
          <c:dPt>
            <c:idx val="18"/>
            <c:marker>
              <c:symbol val="none"/>
            </c:marker>
            <c:bubble3D val="0"/>
            <c:spPr>
              <a:ln w="28575" cap="rnd">
                <a:solidFill>
                  <a:schemeClr val="accent1"/>
                </a:solidFill>
                <a:round/>
              </a:ln>
              <a:effectLst/>
            </c:spPr>
            <c:extLst>
              <c:ext xmlns:c16="http://schemas.microsoft.com/office/drawing/2014/chart" uri="{C3380CC4-5D6E-409C-BE32-E72D297353CC}">
                <c16:uniqueId val="{00000000-DA5A-46DB-B4B0-24CA8C14B5C3}"/>
              </c:ext>
            </c:extLst>
          </c:dPt>
          <c:dPt>
            <c:idx val="19"/>
            <c:marker>
              <c:symbol val="none"/>
            </c:marker>
            <c:bubble3D val="0"/>
            <c:spPr>
              <a:ln w="28575" cap="rnd">
                <a:solidFill>
                  <a:schemeClr val="accent1"/>
                </a:solidFill>
                <a:round/>
              </a:ln>
              <a:effectLst/>
            </c:spPr>
            <c:extLst>
              <c:ext xmlns:c16="http://schemas.microsoft.com/office/drawing/2014/chart" uri="{C3380CC4-5D6E-409C-BE32-E72D297353CC}">
                <c16:uniqueId val="{00000003-DA5A-46DB-B4B0-24CA8C14B5C3}"/>
              </c:ext>
            </c:extLst>
          </c:dPt>
          <c:dLbls>
            <c:dLbl>
              <c:idx val="1"/>
              <c:layout>
                <c:manualLayout>
                  <c:x val="-5.0332852590336853E-2"/>
                  <c:y val="1.344030243078564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A5A-46DB-B4B0-24CA8C14B5C3}"/>
                </c:ext>
              </c:extLst>
            </c:dLbl>
            <c:dLbl>
              <c:idx val="4"/>
              <c:layout>
                <c:manualLayout>
                  <c:x val="-3.6431623983521677E-2"/>
                  <c:y val="2.78284120694541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5A-46DB-B4B0-24CA8C14B5C3}"/>
                </c:ext>
              </c:extLst>
            </c:dLbl>
            <c:dLbl>
              <c:idx val="12"/>
              <c:layout>
                <c:manualLayout>
                  <c:x val="-3.0357730109360475E-3"/>
                  <c:y val="-1.98434752180218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5A-46DB-B4B0-24CA8C14B5C3}"/>
                </c:ext>
              </c:extLst>
            </c:dLbl>
            <c:dLbl>
              <c:idx val="13"/>
              <c:layout>
                <c:manualLayout>
                  <c:x val="-6.3164755919704829E-2"/>
                  <c:y val="-9.39997443318730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5A-46DB-B4B0-24CA8C14B5C3}"/>
                </c:ext>
              </c:extLst>
            </c:dLbl>
            <c:dLbl>
              <c:idx val="15"/>
              <c:layout>
                <c:manualLayout>
                  <c:x val="-5.5473839501141299E-2"/>
                  <c:y val="-6.75153625054976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5A-46DB-B4B0-24CA8C14B5C3}"/>
                </c:ext>
              </c:extLst>
            </c:dLbl>
            <c:dLbl>
              <c:idx val="18"/>
              <c:layout>
                <c:manualLayout>
                  <c:x val="-2.2036860633269196E-2"/>
                  <c:y val="-3.57341043138470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5A-46DB-B4B0-24CA8C14B5C3}"/>
                </c:ext>
              </c:extLst>
            </c:dLbl>
            <c:dLbl>
              <c:idx val="19"/>
              <c:layout>
                <c:manualLayout>
                  <c:x val="-8.993083874838636E-4"/>
                  <c:y val="-7.54606770534102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5A-46DB-B4B0-24CA8C14B5C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Sheet'!$J$4:$J$24</c:f>
              <c:strCache>
                <c:ptCount val="20"/>
                <c:pt idx="0">
                  <c:v>01-05-2025</c:v>
                </c:pt>
                <c:pt idx="1">
                  <c:v>02-05-2025</c:v>
                </c:pt>
                <c:pt idx="2">
                  <c:v>03-05-2025</c:v>
                </c:pt>
                <c:pt idx="3">
                  <c:v>04-05-2025</c:v>
                </c:pt>
                <c:pt idx="4">
                  <c:v>05-05-2025</c:v>
                </c:pt>
                <c:pt idx="5">
                  <c:v>06-05-2025</c:v>
                </c:pt>
                <c:pt idx="6">
                  <c:v>07-05-2025</c:v>
                </c:pt>
                <c:pt idx="7">
                  <c:v>08-05-2025</c:v>
                </c:pt>
                <c:pt idx="8">
                  <c:v>09-05-2025</c:v>
                </c:pt>
                <c:pt idx="9">
                  <c:v>10-05-2025</c:v>
                </c:pt>
                <c:pt idx="10">
                  <c:v>11-05-2025</c:v>
                </c:pt>
                <c:pt idx="11">
                  <c:v>12-05-2025</c:v>
                </c:pt>
                <c:pt idx="12">
                  <c:v>13-05-2025</c:v>
                </c:pt>
                <c:pt idx="13">
                  <c:v>14-05-2025</c:v>
                </c:pt>
                <c:pt idx="14">
                  <c:v>15-05-2025</c:v>
                </c:pt>
                <c:pt idx="15">
                  <c:v>16-05-2025</c:v>
                </c:pt>
                <c:pt idx="16">
                  <c:v>17-05-2025</c:v>
                </c:pt>
                <c:pt idx="17">
                  <c:v>18-05-2025</c:v>
                </c:pt>
                <c:pt idx="18">
                  <c:v>19-05-2025</c:v>
                </c:pt>
                <c:pt idx="19">
                  <c:v>20-05-2025</c:v>
                </c:pt>
              </c:strCache>
            </c:strRef>
          </c:cat>
          <c:val>
            <c:numRef>
              <c:f>'Pivot Table Sheet'!$K$4:$K$24</c:f>
              <c:numCache>
                <c:formatCode>"₹"\ #,##0.00</c:formatCode>
                <c:ptCount val="20"/>
                <c:pt idx="0">
                  <c:v>146550</c:v>
                </c:pt>
                <c:pt idx="1">
                  <c:v>15770</c:v>
                </c:pt>
                <c:pt idx="2">
                  <c:v>71010</c:v>
                </c:pt>
                <c:pt idx="3">
                  <c:v>761543</c:v>
                </c:pt>
                <c:pt idx="4">
                  <c:v>284590</c:v>
                </c:pt>
                <c:pt idx="5">
                  <c:v>496317.5</c:v>
                </c:pt>
                <c:pt idx="6">
                  <c:v>9380</c:v>
                </c:pt>
                <c:pt idx="7">
                  <c:v>89655</c:v>
                </c:pt>
                <c:pt idx="8">
                  <c:v>59480</c:v>
                </c:pt>
                <c:pt idx="9">
                  <c:v>2080</c:v>
                </c:pt>
                <c:pt idx="10">
                  <c:v>352602</c:v>
                </c:pt>
                <c:pt idx="11">
                  <c:v>59220</c:v>
                </c:pt>
                <c:pt idx="12">
                  <c:v>49206</c:v>
                </c:pt>
                <c:pt idx="13">
                  <c:v>225433.25</c:v>
                </c:pt>
                <c:pt idx="14">
                  <c:v>1157920</c:v>
                </c:pt>
                <c:pt idx="15">
                  <c:v>45190</c:v>
                </c:pt>
                <c:pt idx="16">
                  <c:v>9210</c:v>
                </c:pt>
                <c:pt idx="17">
                  <c:v>157015</c:v>
                </c:pt>
                <c:pt idx="18">
                  <c:v>192430</c:v>
                </c:pt>
                <c:pt idx="19">
                  <c:v>4890</c:v>
                </c:pt>
              </c:numCache>
            </c:numRef>
          </c:val>
          <c:smooth val="0"/>
          <c:extLst>
            <c:ext xmlns:c16="http://schemas.microsoft.com/office/drawing/2014/chart" uri="{C3380CC4-5D6E-409C-BE32-E72D297353CC}">
              <c16:uniqueId val="{00000000-9249-4428-82AE-93B6CE53638B}"/>
            </c:ext>
          </c:extLst>
        </c:ser>
        <c:dLbls>
          <c:showLegendKey val="0"/>
          <c:showVal val="0"/>
          <c:showCatName val="0"/>
          <c:showSerName val="0"/>
          <c:showPercent val="0"/>
          <c:showBubbleSize val="0"/>
        </c:dLbls>
        <c:smooth val="0"/>
        <c:axId val="570874080"/>
        <c:axId val="570861600"/>
      </c:lineChart>
      <c:catAx>
        <c:axId val="57087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570861600"/>
        <c:crosses val="autoZero"/>
        <c:auto val="1"/>
        <c:lblAlgn val="ctr"/>
        <c:lblOffset val="100"/>
        <c:noMultiLvlLbl val="0"/>
      </c:catAx>
      <c:valAx>
        <c:axId val="57086160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087408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baseline="0">
                <a:solidFill>
                  <a:schemeClr val="accent5">
                    <a:lumMod val="75000"/>
                  </a:schemeClr>
                </a:solidFill>
                <a:latin typeface="+mn-lt"/>
                <a:ea typeface="+mn-ea"/>
                <a:cs typeface="+mn-cs"/>
              </a:defRPr>
            </a:pPr>
            <a:r>
              <a:rPr lang="en-US" sz="2000">
                <a:solidFill>
                  <a:schemeClr val="accent5">
                    <a:lumMod val="75000"/>
                  </a:schemeClr>
                </a:solidFill>
              </a:rPr>
              <a:t>Region Sales Percantage</a:t>
            </a:r>
          </a:p>
        </c:rich>
      </c:tx>
      <c:overlay val="0"/>
      <c:spPr>
        <a:noFill/>
        <a:ln>
          <a:noFill/>
        </a:ln>
        <a:effectLst/>
      </c:spPr>
      <c:txPr>
        <a:bodyPr rot="0" spcFirstLastPara="1" vertOverflow="ellipsis" vert="horz" wrap="square" anchor="ctr" anchorCtr="1"/>
        <a:lstStyle/>
        <a:p>
          <a:pPr>
            <a:defRPr sz="2000" b="1" i="0" u="none" strike="noStrike" kern="1200" cap="all" baseline="0">
              <a:solidFill>
                <a:schemeClr val="accent5">
                  <a:lumMod val="7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Sheet'!$R$3</c:f>
              <c:strCache>
                <c:ptCount val="1"/>
                <c:pt idx="0">
                  <c:v>%</c:v>
                </c:pt>
              </c:strCache>
            </c:strRef>
          </c:tx>
          <c:dPt>
            <c:idx val="0"/>
            <c:bubble3D val="0"/>
            <c:spPr>
              <a:solidFill>
                <a:schemeClr val="tx2">
                  <a:lumMod val="50000"/>
                  <a:lumOff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68F-4968-84B9-511398EE3F68}"/>
              </c:ext>
            </c:extLst>
          </c:dPt>
          <c:dPt>
            <c:idx val="1"/>
            <c:bubble3D val="0"/>
            <c:spPr>
              <a:solidFill>
                <a:schemeClr val="accent3">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68F-4968-84B9-511398EE3F68}"/>
              </c:ext>
            </c:extLst>
          </c:dPt>
          <c:dPt>
            <c:idx val="2"/>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68F-4968-84B9-511398EE3F68}"/>
              </c:ext>
            </c:extLst>
          </c:dPt>
          <c:dPt>
            <c:idx val="3"/>
            <c:bubble3D val="0"/>
            <c:spPr>
              <a:solidFill>
                <a:schemeClr val="accent1">
                  <a:lumMod val="20000"/>
                  <a:lumOff val="8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968F-4968-84B9-511398EE3F68}"/>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968F-4968-84B9-511398EE3F68}"/>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968F-4968-84B9-511398EE3F68}"/>
                </c:ext>
              </c:extLst>
            </c:dLbl>
            <c:dLbl>
              <c:idx val="2"/>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968F-4968-84B9-511398EE3F68}"/>
                </c:ext>
              </c:extLst>
            </c:dLbl>
            <c:dLbl>
              <c:idx val="3"/>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968F-4968-84B9-511398EE3F6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Sheet'!$P$4:$P$7</c:f>
              <c:strCache>
                <c:ptCount val="4"/>
                <c:pt idx="0">
                  <c:v>Chennai</c:v>
                </c:pt>
                <c:pt idx="1">
                  <c:v>Delhi</c:v>
                </c:pt>
                <c:pt idx="2">
                  <c:v>Kolkata</c:v>
                </c:pt>
                <c:pt idx="3">
                  <c:v>Mumbai</c:v>
                </c:pt>
              </c:strCache>
            </c:strRef>
          </c:cat>
          <c:val>
            <c:numRef>
              <c:f>'Pivot Table Sheet'!$R$4:$R$7</c:f>
              <c:numCache>
                <c:formatCode>0%</c:formatCode>
                <c:ptCount val="4"/>
                <c:pt idx="0">
                  <c:v>0.13071591560002474</c:v>
                </c:pt>
                <c:pt idx="1">
                  <c:v>0.26810137530405687</c:v>
                </c:pt>
                <c:pt idx="2">
                  <c:v>0.25417164265808617</c:v>
                </c:pt>
                <c:pt idx="3">
                  <c:v>0.34701106643783225</c:v>
                </c:pt>
              </c:numCache>
            </c:numRef>
          </c:val>
          <c:extLst>
            <c:ext xmlns:c16="http://schemas.microsoft.com/office/drawing/2014/chart" uri="{C3380CC4-5D6E-409C-BE32-E72D297353CC}">
              <c16:uniqueId val="{00000008-968F-4968-84B9-511398EE3F68}"/>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[Project_1.xlsx]Dashboard!PivotTable9</c:name>
    <c:fmtId val="0"/>
  </c:pivotSource>
  <c:chart>
    <c:title>
      <c:tx>
        <c:rich>
          <a:bodyPr rot="0" spcFirstLastPara="1" vertOverflow="ellipsis" vert="horz" wrap="square" anchor="ctr" anchorCtr="1"/>
          <a:lstStyle/>
          <a:p>
            <a:pPr>
              <a:defRPr sz="1800" b="1" i="0" u="none" strike="noStrike" kern="1200" spc="0" baseline="0">
                <a:solidFill>
                  <a:schemeClr val="accent5"/>
                </a:solidFill>
                <a:latin typeface="+mn-lt"/>
                <a:ea typeface="+mn-ea"/>
                <a:cs typeface="+mn-cs"/>
              </a:defRPr>
            </a:pPr>
            <a:r>
              <a:rPr lang="en-US" sz="1800" b="1">
                <a:solidFill>
                  <a:schemeClr val="accent5"/>
                </a:solidFill>
              </a:rPr>
              <a:t>Dashboard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5"/>
              </a:solidFill>
              <a:latin typeface="+mn-lt"/>
              <a:ea typeface="+mn-ea"/>
              <a:cs typeface="+mn-cs"/>
            </a:defRPr>
          </a:pPr>
          <a:endParaRPr lang="en-US"/>
        </a:p>
      </c:txPr>
    </c:title>
    <c:autoTitleDeleted val="0"/>
    <c:pivotFmts>
      <c:pivotFmt>
        <c:idx val="0"/>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Dashboard!$B$5</c:f>
              <c:strCache>
                <c:ptCount val="1"/>
                <c:pt idx="0">
                  <c:v>Total</c:v>
                </c:pt>
              </c:strCache>
            </c:strRef>
          </c:tx>
          <c:spPr>
            <a:solidFill>
              <a:srgbClr val="FF3300"/>
            </a:solidFill>
            <a:ln>
              <a:noFill/>
            </a:ln>
            <a:effectLst/>
          </c:spPr>
          <c:invertIfNegative val="0"/>
          <c:cat>
            <c:strRef>
              <c:f>Dashboard!$A$6:$A$26</c:f>
              <c:strCache>
                <c:ptCount val="20"/>
                <c:pt idx="0">
                  <c:v>01-05-2025</c:v>
                </c:pt>
                <c:pt idx="1">
                  <c:v>02-05-2025</c:v>
                </c:pt>
                <c:pt idx="2">
                  <c:v>03-05-2025</c:v>
                </c:pt>
                <c:pt idx="3">
                  <c:v>04-05-2025</c:v>
                </c:pt>
                <c:pt idx="4">
                  <c:v>05-05-2025</c:v>
                </c:pt>
                <c:pt idx="5">
                  <c:v>06-05-2025</c:v>
                </c:pt>
                <c:pt idx="6">
                  <c:v>07-05-2025</c:v>
                </c:pt>
                <c:pt idx="7">
                  <c:v>08-05-2025</c:v>
                </c:pt>
                <c:pt idx="8">
                  <c:v>09-05-2025</c:v>
                </c:pt>
                <c:pt idx="9">
                  <c:v>10-05-2025</c:v>
                </c:pt>
                <c:pt idx="10">
                  <c:v>11-05-2025</c:v>
                </c:pt>
                <c:pt idx="11">
                  <c:v>12-05-2025</c:v>
                </c:pt>
                <c:pt idx="12">
                  <c:v>13-05-2025</c:v>
                </c:pt>
                <c:pt idx="13">
                  <c:v>14-05-2025</c:v>
                </c:pt>
                <c:pt idx="14">
                  <c:v>15-05-2025</c:v>
                </c:pt>
                <c:pt idx="15">
                  <c:v>16-05-2025</c:v>
                </c:pt>
                <c:pt idx="16">
                  <c:v>17-05-2025</c:v>
                </c:pt>
                <c:pt idx="17">
                  <c:v>18-05-2025</c:v>
                </c:pt>
                <c:pt idx="18">
                  <c:v>19-05-2025</c:v>
                </c:pt>
                <c:pt idx="19">
                  <c:v>20-05-2025</c:v>
                </c:pt>
              </c:strCache>
            </c:strRef>
          </c:cat>
          <c:val>
            <c:numRef>
              <c:f>Dashboard!$B$6:$B$26</c:f>
              <c:numCache>
                <c:formatCode>"₹"\ #,##0.00</c:formatCode>
                <c:ptCount val="20"/>
                <c:pt idx="0">
                  <c:v>146550</c:v>
                </c:pt>
                <c:pt idx="1">
                  <c:v>15770</c:v>
                </c:pt>
                <c:pt idx="2">
                  <c:v>71010</c:v>
                </c:pt>
                <c:pt idx="3">
                  <c:v>761543</c:v>
                </c:pt>
                <c:pt idx="4">
                  <c:v>284590</c:v>
                </c:pt>
                <c:pt idx="5">
                  <c:v>496317.5</c:v>
                </c:pt>
                <c:pt idx="6">
                  <c:v>9380</c:v>
                </c:pt>
                <c:pt idx="7">
                  <c:v>89655</c:v>
                </c:pt>
                <c:pt idx="8">
                  <c:v>59480</c:v>
                </c:pt>
                <c:pt idx="9">
                  <c:v>2080</c:v>
                </c:pt>
                <c:pt idx="10">
                  <c:v>352602</c:v>
                </c:pt>
                <c:pt idx="11">
                  <c:v>59220</c:v>
                </c:pt>
                <c:pt idx="12">
                  <c:v>49206</c:v>
                </c:pt>
                <c:pt idx="13">
                  <c:v>225433.25</c:v>
                </c:pt>
                <c:pt idx="14">
                  <c:v>1157920</c:v>
                </c:pt>
                <c:pt idx="15">
                  <c:v>45190</c:v>
                </c:pt>
                <c:pt idx="16">
                  <c:v>9210</c:v>
                </c:pt>
                <c:pt idx="17">
                  <c:v>157015</c:v>
                </c:pt>
                <c:pt idx="18">
                  <c:v>192430</c:v>
                </c:pt>
                <c:pt idx="19">
                  <c:v>4890</c:v>
                </c:pt>
              </c:numCache>
            </c:numRef>
          </c:val>
          <c:extLst>
            <c:ext xmlns:c16="http://schemas.microsoft.com/office/drawing/2014/chart" uri="{C3380CC4-5D6E-409C-BE32-E72D297353CC}">
              <c16:uniqueId val="{00000000-1C08-45FF-A7D4-DEFCD2C67C02}"/>
            </c:ext>
          </c:extLst>
        </c:ser>
        <c:dLbls>
          <c:showLegendKey val="0"/>
          <c:showVal val="0"/>
          <c:showCatName val="0"/>
          <c:showSerName val="0"/>
          <c:showPercent val="0"/>
          <c:showBubbleSize val="0"/>
        </c:dLbls>
        <c:gapWidth val="150"/>
        <c:overlap val="100"/>
        <c:axId val="576822224"/>
        <c:axId val="576825584"/>
      </c:barChart>
      <c:catAx>
        <c:axId val="57682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6825584"/>
        <c:crosses val="autoZero"/>
        <c:auto val="1"/>
        <c:lblAlgn val="ctr"/>
        <c:lblOffset val="100"/>
        <c:noMultiLvlLbl val="0"/>
      </c:catAx>
      <c:valAx>
        <c:axId val="576825584"/>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682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20</xdr:col>
      <xdr:colOff>161192</xdr:colOff>
      <xdr:row>30</xdr:row>
      <xdr:rowOff>117231</xdr:rowOff>
    </xdr:from>
    <xdr:to>
      <xdr:col>30</xdr:col>
      <xdr:colOff>263769</xdr:colOff>
      <xdr:row>50</xdr:row>
      <xdr:rowOff>58616</xdr:rowOff>
    </xdr:to>
    <xdr:graphicFrame macro="">
      <xdr:nvGraphicFramePr>
        <xdr:cNvPr id="2" name="Chart 1">
          <a:extLst>
            <a:ext uri="{FF2B5EF4-FFF2-40B4-BE49-F238E27FC236}">
              <a16:creationId xmlns:a16="http://schemas.microsoft.com/office/drawing/2014/main" id="{69AAC74B-385C-49EF-B42F-B491444E7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58615</xdr:colOff>
      <xdr:row>30</xdr:row>
      <xdr:rowOff>126202</xdr:rowOff>
    </xdr:from>
    <xdr:to>
      <xdr:col>10</xdr:col>
      <xdr:colOff>351693</xdr:colOff>
      <xdr:row>50</xdr:row>
      <xdr:rowOff>102577</xdr:rowOff>
    </xdr:to>
    <xdr:graphicFrame macro="">
      <xdr:nvGraphicFramePr>
        <xdr:cNvPr id="3" name="Chart 2">
          <a:extLst>
            <a:ext uri="{FF2B5EF4-FFF2-40B4-BE49-F238E27FC236}">
              <a16:creationId xmlns:a16="http://schemas.microsoft.com/office/drawing/2014/main" id="{5C7311AA-4975-4E18-B0A4-249D3AE67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345554</xdr:colOff>
      <xdr:row>30</xdr:row>
      <xdr:rowOff>131884</xdr:rowOff>
    </xdr:from>
    <xdr:to>
      <xdr:col>20</xdr:col>
      <xdr:colOff>161192</xdr:colOff>
      <xdr:row>50</xdr:row>
      <xdr:rowOff>73269</xdr:rowOff>
    </xdr:to>
    <xdr:graphicFrame macro="">
      <xdr:nvGraphicFramePr>
        <xdr:cNvPr id="4" name="Chart 3">
          <a:extLst>
            <a:ext uri="{FF2B5EF4-FFF2-40B4-BE49-F238E27FC236}">
              <a16:creationId xmlns:a16="http://schemas.microsoft.com/office/drawing/2014/main" id="{CBAB5257-021A-4355-991F-2D81C48D6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76959</xdr:colOff>
      <xdr:row>5</xdr:row>
      <xdr:rowOff>23623</xdr:rowOff>
    </xdr:from>
    <xdr:to>
      <xdr:col>20</xdr:col>
      <xdr:colOff>351692</xdr:colOff>
      <xdr:row>30</xdr:row>
      <xdr:rowOff>131883</xdr:rowOff>
    </xdr:to>
    <xdr:graphicFrame macro="">
      <xdr:nvGraphicFramePr>
        <xdr:cNvPr id="5" name="Chart 4">
          <a:extLst>
            <a:ext uri="{FF2B5EF4-FFF2-40B4-BE49-F238E27FC236}">
              <a16:creationId xmlns:a16="http://schemas.microsoft.com/office/drawing/2014/main" id="{E00DDA5E-80F9-4E2E-A53C-708CF7111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340167</xdr:colOff>
      <xdr:row>5</xdr:row>
      <xdr:rowOff>29306</xdr:rowOff>
    </xdr:from>
    <xdr:to>
      <xdr:col>30</xdr:col>
      <xdr:colOff>234462</xdr:colOff>
      <xdr:row>30</xdr:row>
      <xdr:rowOff>146539</xdr:rowOff>
    </xdr:to>
    <xdr:graphicFrame macro="">
      <xdr:nvGraphicFramePr>
        <xdr:cNvPr id="6" name="Chart 5">
          <a:extLst>
            <a:ext uri="{FF2B5EF4-FFF2-40B4-BE49-F238E27FC236}">
              <a16:creationId xmlns:a16="http://schemas.microsoft.com/office/drawing/2014/main" id="{E1DC831D-DF73-42EE-B781-26B42F83C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0</xdr:colOff>
      <xdr:row>0</xdr:row>
      <xdr:rowOff>19982</xdr:rowOff>
    </xdr:from>
    <xdr:ext cx="18374264" cy="937693"/>
    <xdr:sp macro="" textlink="">
      <xdr:nvSpPr>
        <xdr:cNvPr id="8" name="Rectangle 7">
          <a:extLst>
            <a:ext uri="{FF2B5EF4-FFF2-40B4-BE49-F238E27FC236}">
              <a16:creationId xmlns:a16="http://schemas.microsoft.com/office/drawing/2014/main" id="{8DC4BD93-DD35-4182-BC80-CCD06E1C2746}"/>
            </a:ext>
          </a:extLst>
        </xdr:cNvPr>
        <xdr:cNvSpPr/>
      </xdr:nvSpPr>
      <xdr:spPr>
        <a:xfrm>
          <a:off x="0" y="19982"/>
          <a:ext cx="18374264" cy="937693"/>
        </a:xfrm>
        <a:prstGeom prst="rect">
          <a:avLst/>
        </a:prstGeom>
        <a:solidFill>
          <a:schemeClr val="tx2">
            <a:lumMod val="50000"/>
            <a:lumOff val="50000"/>
          </a:schemeClr>
        </a:solid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5400" b="1" cap="none" spc="0">
              <a:ln/>
              <a:solidFill>
                <a:srgbClr val="FF3300"/>
              </a:solidFill>
              <a:effectLst/>
              <a:latin typeface="+mj-lt"/>
            </a:rPr>
            <a:t>Customer  Monthly Sales Chats </a:t>
          </a:r>
          <a:endParaRPr lang="en-IN" sz="5400" b="1" cap="none" spc="0">
            <a:ln/>
            <a:solidFill>
              <a:srgbClr val="FF3300"/>
            </a:soli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120588</xdr:colOff>
      <xdr:row>4</xdr:row>
      <xdr:rowOff>8283</xdr:rowOff>
    </xdr:from>
    <xdr:to>
      <xdr:col>6</xdr:col>
      <xdr:colOff>496956</xdr:colOff>
      <xdr:row>10</xdr:row>
      <xdr:rowOff>92103</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DB479E94-3D9E-CB4B-6950-1025B9A87FC1}"/>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842708" y="739803"/>
              <a:ext cx="2814768"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522134</xdr:colOff>
      <xdr:row>4</xdr:row>
      <xdr:rowOff>7620</xdr:rowOff>
    </xdr:from>
    <xdr:to>
      <xdr:col>11</xdr:col>
      <xdr:colOff>281609</xdr:colOff>
      <xdr:row>10</xdr:row>
      <xdr:rowOff>106680</xdr:rowOff>
    </xdr:to>
    <mc:AlternateContent xmlns:mc="http://schemas.openxmlformats.org/markup-compatibility/2006" xmlns:a14="http://schemas.microsoft.com/office/drawing/2010/main">
      <mc:Choice Requires="a14">
        <xdr:graphicFrame macro="">
          <xdr:nvGraphicFramePr>
            <xdr:cNvPr id="3" name="Customer Name">
              <a:extLst>
                <a:ext uri="{FF2B5EF4-FFF2-40B4-BE49-F238E27FC236}">
                  <a16:creationId xmlns:a16="http://schemas.microsoft.com/office/drawing/2014/main" id="{0EE902D7-59BB-A7E2-B542-F2C89B55EEF5}"/>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4682654" y="739140"/>
              <a:ext cx="2807475"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328310</xdr:colOff>
      <xdr:row>4</xdr:row>
      <xdr:rowOff>8282</xdr:rowOff>
    </xdr:from>
    <xdr:to>
      <xdr:col>15</xdr:col>
      <xdr:colOff>273325</xdr:colOff>
      <xdr:row>10</xdr:row>
      <xdr:rowOff>124240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6463BD4-3131-D2DB-850B-0C62BD3032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36830" y="739802"/>
              <a:ext cx="2383415" cy="1213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321694</xdr:colOff>
      <xdr:row>4</xdr:row>
      <xdr:rowOff>22198</xdr:rowOff>
    </xdr:from>
    <xdr:to>
      <xdr:col>19</xdr:col>
      <xdr:colOff>210765</xdr:colOff>
      <xdr:row>10</xdr:row>
      <xdr:rowOff>136498</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B42E0EC4-5883-B69C-2056-D3271CA76A9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968614" y="753718"/>
              <a:ext cx="2327471"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105353</xdr:colOff>
      <xdr:row>10</xdr:row>
      <xdr:rowOff>115295</xdr:rowOff>
    </xdr:from>
    <xdr:to>
      <xdr:col>19</xdr:col>
      <xdr:colOff>207066</xdr:colOff>
      <xdr:row>25</xdr:row>
      <xdr:rowOff>115295</xdr:rowOff>
    </xdr:to>
    <xdr:graphicFrame macro="">
      <xdr:nvGraphicFramePr>
        <xdr:cNvPr id="6" name="Chart 5">
          <a:extLst>
            <a:ext uri="{FF2B5EF4-FFF2-40B4-BE49-F238E27FC236}">
              <a16:creationId xmlns:a16="http://schemas.microsoft.com/office/drawing/2014/main" id="{0F2F835D-29B4-A67C-E502-4EB390631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0</xdr:rowOff>
    </xdr:from>
    <xdr:ext cx="12289277" cy="713362"/>
    <xdr:sp macro="" textlink="">
      <xdr:nvSpPr>
        <xdr:cNvPr id="7" name="Rectangle 6">
          <a:extLst>
            <a:ext uri="{FF2B5EF4-FFF2-40B4-BE49-F238E27FC236}">
              <a16:creationId xmlns:a16="http://schemas.microsoft.com/office/drawing/2014/main" id="{9AD80F46-E98D-0FEB-7D6B-E4639D17FEA0}"/>
            </a:ext>
          </a:extLst>
        </xdr:cNvPr>
        <xdr:cNvSpPr/>
      </xdr:nvSpPr>
      <xdr:spPr>
        <a:xfrm>
          <a:off x="0" y="0"/>
          <a:ext cx="12289277" cy="713362"/>
        </a:xfrm>
        <a:prstGeom prst="rect">
          <a:avLst/>
        </a:prstGeom>
        <a:solidFill>
          <a:schemeClr val="accent5">
            <a:lumMod val="20000"/>
            <a:lumOff val="80000"/>
          </a:schemeClr>
        </a:solidFill>
      </xdr:spPr>
      <xdr:txBody>
        <a:bodyPr wrap="square" lIns="91440" tIns="45720" rIns="91440" bIns="45720" anchor="ctr">
          <a:noAutofit/>
          <a:scene3d>
            <a:camera prst="orthographicFront"/>
            <a:lightRig rig="soft" dir="t">
              <a:rot lat="0" lon="0" rev="15600000"/>
            </a:lightRig>
          </a:scene3d>
          <a:sp3d extrusionH="57150" prstMaterial="softEdge">
            <a:bevelT w="25400" h="38100"/>
          </a:sp3d>
        </a:bodyPr>
        <a:lstStyle/>
        <a:p>
          <a:pPr algn="ctr"/>
          <a:r>
            <a:rPr lang="en-US" sz="5400" b="1" cap="none" spc="0">
              <a:ln/>
              <a:solidFill>
                <a:schemeClr val="accent2">
                  <a:lumMod val="50000"/>
                </a:schemeClr>
              </a:solidFill>
              <a:effectLst/>
            </a:rPr>
            <a:t>Monthly</a:t>
          </a:r>
          <a:r>
            <a:rPr lang="en-US" sz="5400" b="1" cap="none" spc="0" baseline="0">
              <a:ln/>
              <a:solidFill>
                <a:schemeClr val="accent2">
                  <a:lumMod val="50000"/>
                </a:schemeClr>
              </a:solidFill>
              <a:effectLst/>
            </a:rPr>
            <a:t> Sales Dashboard</a:t>
          </a:r>
          <a:endParaRPr lang="en-US" sz="5400" b="1" cap="none" spc="0">
            <a:ln/>
            <a:solidFill>
              <a:schemeClr val="accent2">
                <a:lumMod val="50000"/>
              </a:schemeClr>
            </a:solidFill>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posi howlader" refreshedDate="45824.49463645833" createdVersion="8" refreshedVersion="8" minRefreshableVersion="3" recordCount="86" xr:uid="{BCFF2B64-8F96-4502-B268-90641E1DF2BF}">
  <cacheSource type="worksheet">
    <worksheetSource ref="A1:J101" sheet="Monthly Sales Data "/>
  </cacheSource>
  <cacheFields count="10">
    <cacheField name="Order ID" numFmtId="0">
      <sharedItems containsString="0" containsBlank="1" containsNumber="1" containsInteger="1" minValue="1" maxValue="100"/>
    </cacheField>
    <cacheField name="Date" numFmtId="0">
      <sharedItems containsNonDate="0" containsDate="1" containsString="0" containsBlank="1" minDate="2025-05-01T00:00:00" maxDate="2025-05-21T00:00:00" count="21">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m/>
      </sharedItems>
    </cacheField>
    <cacheField name="Customer Id" numFmtId="0">
      <sharedItems containsString="0" containsBlank="1" containsNumber="1" containsInteger="1" minValue="1296612228" maxValue="9999174353"/>
    </cacheField>
    <cacheField name="Customer Name" numFmtId="0">
      <sharedItems containsBlank="1" count="84">
        <s v="Suresh Sharma"/>
        <s v="Rushikesh Bajaj"/>
        <s v="Chandni Jain"/>
        <s v="Febi Varughese"/>
        <s v="Sima Nag"/>
        <s v="Mohan Singhal"/>
        <s v="Sanjay Patel"/>
        <s v="Ritika Anand"/>
        <s v="Ajay Kumar"/>
        <s v="Suyash Maheshwari"/>
        <s v="Manali Shenoy"/>
        <s v="Etika Jain"/>
        <s v="Sujit Ghosh"/>
        <s v="Fardeen Khan"/>
        <s v="Nadim Rauf"/>
        <s v="Raj Mukherjee"/>
        <s v="Ninad Sathe"/>
        <s v="Karthik Krishnan"/>
        <s v="Gaurav Chaudhary"/>
        <s v="Avijit Biswas"/>
        <s v="Ramkumar Krishnamurti"/>
        <s v="Gurleen Singh"/>
        <s v="Moni Gupta"/>
        <s v="Somya Prahladka"/>
        <s v="Ramnath Krishnamoorthy"/>
        <s v="Nupur Sanyal"/>
        <s v="Nishita Thaker"/>
        <s v="Karthic Venkatasamy"/>
        <s v="Varun Mittal"/>
        <s v="Kanupriya Dalmia"/>
        <s v="Narayan Garg"/>
        <s v="Bikram Saha"/>
        <s v="Nikhil Anand"/>
        <s v="Vishnu Rajendran"/>
        <s v="Snehanshu Sinha"/>
        <s v="Gunjan Goenka"/>
        <s v="Subhra Basu"/>
        <s v="Ankit Khadaria"/>
        <s v="Deep Dutta"/>
        <s v="Souptik Chatterjee"/>
        <s v="Shubhangi Sawant"/>
        <s v="Chandrarup Raychowdhury"/>
        <s v="Anisha Mathran"/>
        <s v="Rajkanya Chikte"/>
        <s v="Rohan Krishan"/>
        <s v="Rajat Ganguly"/>
        <s v="Mary Kurien"/>
        <s v="Sachin Tyagi"/>
        <s v="Vignesh Rangarajan"/>
        <s v="Aziz Khan"/>
        <s v="Rauniqa Singh"/>
        <s v="Kanika Mittal"/>
        <s v="Ashima Dhawan"/>
        <s v="Vijaya Krishnan"/>
        <s v="Nitin Saini"/>
        <s v="Shubham Garg"/>
        <s v="Rijaul Islam"/>
        <s v="Noor Ali"/>
        <s v="Jatin Jain"/>
        <s v="Samuel D'Silva"/>
        <s v="Ayush Gupta"/>
        <s v="Shekhar Goenka"/>
        <s v="Surajit Sinha"/>
        <s v="Giyasuddin Rehman"/>
        <s v="Samyak Jain"/>
        <s v="Sonu Gupta"/>
        <s v="Rishi Sachdeva"/>
        <s v="Armaan Suri"/>
        <s v="Rajshree Lohia"/>
        <s v="Manohar Naravne"/>
        <s v="Rewati Sarang"/>
        <s v="Pooja Mehta"/>
        <s v="Krishna Bahadur"/>
        <s v="Anita Pradhan"/>
        <s v="Balwinder Singh"/>
        <s v="Niladri Basu"/>
        <s v="Piyush Agarwal"/>
        <s v="Vikas Parikh"/>
        <s v="Abhilasha Kumari"/>
        <s v="Ramakant Upade"/>
        <s v="Nishikant Singh"/>
        <s v="Riju Modi"/>
        <s v="Mohit Kohli"/>
        <m/>
      </sharedItems>
    </cacheField>
    <cacheField name="Region" numFmtId="0">
      <sharedItems containsBlank="1" count="5">
        <s v="Kolkata"/>
        <s v="Mumbai"/>
        <s v="Delhi"/>
        <s v="Chennai"/>
        <m/>
      </sharedItems>
    </cacheField>
    <cacheField name="Product Code" numFmtId="0">
      <sharedItems containsBlank="1"/>
    </cacheField>
    <cacheField name="Product Category" numFmtId="0">
      <sharedItems containsBlank="1" count="7">
        <s v="Clothing"/>
        <s v="Electronics"/>
        <s v="Groceries"/>
        <s v="Furniture"/>
        <s v="Home Goods"/>
        <s v="Health and Beauty"/>
        <m/>
      </sharedItems>
    </cacheField>
    <cacheField name="Discount" numFmtId="0">
      <sharedItems containsString="0" containsBlank="1" containsNumber="1" containsInteger="1" minValue="0" maxValue="1700"/>
    </cacheField>
    <cacheField name="Total Sales" numFmtId="0">
      <sharedItems containsString="0" containsBlank="1" containsNumber="1" minValue="125" maxValue="783845"/>
    </cacheField>
    <cacheField name="Customer Segment" numFmtId="0">
      <sharedItems containsBlank="1" count="5">
        <s v="Existing"/>
        <s v="Premium"/>
        <s v="Budget"/>
        <s v="New"/>
        <m/>
      </sharedItems>
    </cacheField>
  </cacheFields>
  <extLst>
    <ext xmlns:x14="http://schemas.microsoft.com/office/spreadsheetml/2009/9/main" uri="{725AE2AE-9491-48be-B2B4-4EB974FC3084}">
      <x14:pivotCacheDefinition pivotCacheId="1388762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n v="1"/>
    <x v="0"/>
    <n v="8506861171"/>
    <x v="0"/>
    <x v="0"/>
    <s v="PCG"/>
    <x v="0"/>
    <n v="50"/>
    <n v="850"/>
    <x v="0"/>
  </r>
  <r>
    <n v="2"/>
    <x v="0"/>
    <n v="9953655717"/>
    <x v="1"/>
    <x v="1"/>
    <s v="ELC"/>
    <x v="1"/>
    <n v="330"/>
    <n v="22270"/>
    <x v="1"/>
  </r>
  <r>
    <n v="3"/>
    <x v="0"/>
    <n v="9920313736"/>
    <x v="2"/>
    <x v="2"/>
    <s v="GCR"/>
    <x v="2"/>
    <n v="0"/>
    <n v="630"/>
    <x v="0"/>
  </r>
  <r>
    <n v="4"/>
    <x v="0"/>
    <n v="9422331154"/>
    <x v="3"/>
    <x v="3"/>
    <s v="FRU"/>
    <x v="3"/>
    <n v="1700"/>
    <n v="100300"/>
    <x v="0"/>
  </r>
  <r>
    <n v="5"/>
    <x v="0"/>
    <n v="8053100106"/>
    <x v="4"/>
    <x v="0"/>
    <s v="HSG"/>
    <x v="4"/>
    <n v="0"/>
    <n v="22500"/>
    <x v="2"/>
  </r>
  <r>
    <n v="6"/>
    <x v="1"/>
    <n v="8860663473"/>
    <x v="5"/>
    <x v="1"/>
    <s v="HAB"/>
    <x v="5"/>
    <n v="50"/>
    <n v="1125"/>
    <x v="0"/>
  </r>
  <r>
    <n v="7"/>
    <x v="1"/>
    <n v="9703227282"/>
    <x v="6"/>
    <x v="2"/>
    <s v="HAB"/>
    <x v="5"/>
    <n v="105"/>
    <n v="4395"/>
    <x v="3"/>
  </r>
  <r>
    <n v="8"/>
    <x v="1"/>
    <n v="9958569893"/>
    <x v="7"/>
    <x v="1"/>
    <s v="GCR"/>
    <x v="2"/>
    <n v="0"/>
    <n v="875"/>
    <x v="0"/>
  </r>
  <r>
    <n v="9"/>
    <x v="1"/>
    <n v="9968373411"/>
    <x v="8"/>
    <x v="0"/>
    <s v="HSG"/>
    <x v="4"/>
    <n v="0"/>
    <n v="7000"/>
    <x v="2"/>
  </r>
  <r>
    <n v="10"/>
    <x v="1"/>
    <n v="8726370524"/>
    <x v="9"/>
    <x v="1"/>
    <s v="PCG"/>
    <x v="0"/>
    <n v="175"/>
    <n v="2375"/>
    <x v="3"/>
  </r>
  <r>
    <n v="11"/>
    <x v="2"/>
    <n v="7501087524"/>
    <x v="10"/>
    <x v="2"/>
    <s v="ELC"/>
    <x v="1"/>
    <n v="125"/>
    <n v="3475"/>
    <x v="0"/>
  </r>
  <r>
    <n v="12"/>
    <x v="2"/>
    <n v="7973328491"/>
    <x v="11"/>
    <x v="3"/>
    <s v="GCR"/>
    <x v="2"/>
    <n v="0"/>
    <n v="1760"/>
    <x v="0"/>
  </r>
  <r>
    <n v="13"/>
    <x v="2"/>
    <n v="8655912093"/>
    <x v="12"/>
    <x v="0"/>
    <s v="FRU"/>
    <x v="3"/>
    <n v="225"/>
    <n v="65775"/>
    <x v="0"/>
  </r>
  <r>
    <n v="14"/>
    <x v="3"/>
    <n v="9990476099"/>
    <x v="13"/>
    <x v="1"/>
    <s v="HSG"/>
    <x v="4"/>
    <n v="100"/>
    <n v="24600"/>
    <x v="1"/>
  </r>
  <r>
    <n v="15"/>
    <x v="3"/>
    <n v="9972652245"/>
    <x v="14"/>
    <x v="2"/>
    <s v="HAB"/>
    <x v="5"/>
    <n v="35"/>
    <n v="4033"/>
    <x v="3"/>
  </r>
  <r>
    <n v="16"/>
    <x v="3"/>
    <n v="9836330073"/>
    <x v="15"/>
    <x v="0"/>
    <s v="HSG"/>
    <x v="4"/>
    <n v="500"/>
    <n v="67000"/>
    <x v="0"/>
  </r>
  <r>
    <n v="17"/>
    <x v="3"/>
    <n v="9536592304"/>
    <x v="16"/>
    <x v="1"/>
    <s v="HSG"/>
    <x v="4"/>
    <n v="250"/>
    <n v="651650"/>
    <x v="0"/>
  </r>
  <r>
    <n v="18"/>
    <x v="3"/>
    <n v="9140310269"/>
    <x v="17"/>
    <x v="2"/>
    <s v="ELC"/>
    <x v="1"/>
    <n v="240"/>
    <n v="14260"/>
    <x v="1"/>
  </r>
  <r>
    <n v="19"/>
    <x v="4"/>
    <n v="9810314100"/>
    <x v="18"/>
    <x v="1"/>
    <s v="GCR"/>
    <x v="2"/>
    <n v="0"/>
    <n v="770"/>
    <x v="3"/>
  </r>
  <r>
    <n v="20"/>
    <x v="4"/>
    <n v="9051678541"/>
    <x v="19"/>
    <x v="0"/>
    <s v="PCG"/>
    <x v="0"/>
    <n v="125"/>
    <n v="4075"/>
    <x v="0"/>
  </r>
  <r>
    <n v="21"/>
    <x v="4"/>
    <n v="9729990031"/>
    <x v="20"/>
    <x v="3"/>
    <s v="ELC"/>
    <x v="1"/>
    <n v="1135"/>
    <n v="36735"/>
    <x v="2"/>
  </r>
  <r>
    <n v="22"/>
    <x v="4"/>
    <n v="9038568825"/>
    <x v="21"/>
    <x v="1"/>
    <s v="GCR"/>
    <x v="2"/>
    <n v="0"/>
    <n v="1575"/>
    <x v="3"/>
  </r>
  <r>
    <n v="23"/>
    <x v="4"/>
    <n v="8886851113"/>
    <x v="22"/>
    <x v="2"/>
    <s v="FRU"/>
    <x v="3"/>
    <n v="465"/>
    <n v="239335"/>
    <x v="1"/>
  </r>
  <r>
    <n v="25"/>
    <x v="4"/>
    <n v="7428290126"/>
    <x v="23"/>
    <x v="2"/>
    <s v="HAB"/>
    <x v="5"/>
    <n v="0"/>
    <n v="2100"/>
    <x v="1"/>
  </r>
  <r>
    <n v="26"/>
    <x v="5"/>
    <n v="9791160051"/>
    <x v="24"/>
    <x v="1"/>
    <s v="HSG"/>
    <x v="4"/>
    <n v="300"/>
    <n v="24450"/>
    <x v="1"/>
  </r>
  <r>
    <n v="27"/>
    <x v="5"/>
    <n v="8697562169"/>
    <x v="25"/>
    <x v="0"/>
    <s v="GCR"/>
    <x v="2"/>
    <n v="0"/>
    <n v="550"/>
    <x v="0"/>
  </r>
  <r>
    <n v="28"/>
    <x v="5"/>
    <n v="8981753938"/>
    <x v="26"/>
    <x v="1"/>
    <s v="HSG"/>
    <x v="4"/>
    <n v="0"/>
    <n v="94500"/>
    <x v="0"/>
  </r>
  <r>
    <n v="29"/>
    <x v="5"/>
    <n v="9080181775"/>
    <x v="27"/>
    <x v="3"/>
    <s v="GCR"/>
    <x v="2"/>
    <n v="0"/>
    <n v="125"/>
    <x v="3"/>
  </r>
  <r>
    <n v="30"/>
    <x v="5"/>
    <n v="7760345546"/>
    <x v="28"/>
    <x v="2"/>
    <s v="HSG"/>
    <x v="4"/>
    <n v="0"/>
    <n v="3750"/>
    <x v="1"/>
  </r>
  <r>
    <n v="32"/>
    <x v="5"/>
    <n v="7980456893"/>
    <x v="29"/>
    <x v="1"/>
    <s v="HSG"/>
    <x v="4"/>
    <n v="0"/>
    <n v="8800"/>
    <x v="0"/>
  </r>
  <r>
    <n v="33"/>
    <x v="5"/>
    <n v="9560352251"/>
    <x v="30"/>
    <x v="2"/>
    <s v="GCR"/>
    <x v="2"/>
    <n v="0"/>
    <n v="232.5"/>
    <x v="1"/>
  </r>
  <r>
    <n v="34"/>
    <x v="5"/>
    <n v="9727592537"/>
    <x v="31"/>
    <x v="0"/>
    <s v="FRU"/>
    <x v="3"/>
    <n v="0"/>
    <n v="351000"/>
    <x v="0"/>
  </r>
  <r>
    <n v="35"/>
    <x v="5"/>
    <n v="9316401043"/>
    <x v="32"/>
    <x v="1"/>
    <s v="HSG"/>
    <x v="4"/>
    <n v="50"/>
    <n v="12910"/>
    <x v="3"/>
  </r>
  <r>
    <n v="36"/>
    <x v="6"/>
    <n v="8960330044"/>
    <x v="33"/>
    <x v="3"/>
    <s v="HAB"/>
    <x v="5"/>
    <n v="0"/>
    <n v="3300"/>
    <x v="0"/>
  </r>
  <r>
    <n v="37"/>
    <x v="6"/>
    <n v="7420982111"/>
    <x v="34"/>
    <x v="0"/>
    <s v="GCR"/>
    <x v="2"/>
    <n v="0"/>
    <n v="1170"/>
    <x v="2"/>
  </r>
  <r>
    <n v="38"/>
    <x v="6"/>
    <n v="9790913147"/>
    <x v="35"/>
    <x v="1"/>
    <s v="GCR"/>
    <x v="2"/>
    <n v="0"/>
    <n v="800"/>
    <x v="0"/>
  </r>
  <r>
    <n v="39"/>
    <x v="6"/>
    <n v="9739903999"/>
    <x v="36"/>
    <x v="2"/>
    <s v="GCR"/>
    <x v="2"/>
    <n v="0"/>
    <n v="375"/>
    <x v="3"/>
  </r>
  <r>
    <n v="40"/>
    <x v="6"/>
    <n v="7827501075"/>
    <x v="37"/>
    <x v="1"/>
    <s v="GCR"/>
    <x v="2"/>
    <n v="0"/>
    <n v="1610"/>
    <x v="1"/>
  </r>
  <r>
    <n v="41"/>
    <x v="6"/>
    <n v="7008923737"/>
    <x v="38"/>
    <x v="0"/>
    <s v="GCR"/>
    <x v="2"/>
    <n v="0"/>
    <n v="2125"/>
    <x v="0"/>
  </r>
  <r>
    <n v="42"/>
    <x v="7"/>
    <n v="8668679803"/>
    <x v="39"/>
    <x v="1"/>
    <s v="PCG"/>
    <x v="0"/>
    <n v="165"/>
    <n v="7755"/>
    <x v="3"/>
  </r>
  <r>
    <n v="43"/>
    <x v="7"/>
    <n v="9356888577"/>
    <x v="40"/>
    <x v="1"/>
    <s v="ELC"/>
    <x v="1"/>
    <n v="0"/>
    <n v="81900"/>
    <x v="2"/>
  </r>
  <r>
    <n v="46"/>
    <x v="8"/>
    <n v="9805732884"/>
    <x v="41"/>
    <x v="1"/>
    <s v="HSG"/>
    <x v="4"/>
    <n v="170"/>
    <n v="37330"/>
    <x v="1"/>
  </r>
  <r>
    <n v="47"/>
    <x v="8"/>
    <n v="7972809267"/>
    <x v="42"/>
    <x v="1"/>
    <s v="HAB"/>
    <x v="5"/>
    <n v="350"/>
    <n v="22150"/>
    <x v="1"/>
  </r>
  <r>
    <n v="49"/>
    <x v="9"/>
    <n v="7008192610"/>
    <x v="43"/>
    <x v="1"/>
    <s v="GCR"/>
    <x v="5"/>
    <n v="0"/>
    <n v="1350"/>
    <x v="2"/>
  </r>
  <r>
    <n v="50"/>
    <x v="9"/>
    <n v="8875263155"/>
    <x v="44"/>
    <x v="3"/>
    <s v="GCR"/>
    <x v="5"/>
    <n v="0"/>
    <n v="730"/>
    <x v="3"/>
  </r>
  <r>
    <n v="51"/>
    <x v="10"/>
    <n v="9573575097"/>
    <x v="45"/>
    <x v="0"/>
    <s v="PCG"/>
    <x v="0"/>
    <n v="50"/>
    <n v="2200"/>
    <x v="0"/>
  </r>
  <r>
    <n v="52"/>
    <x v="10"/>
    <n v="9755009265"/>
    <x v="46"/>
    <x v="1"/>
    <s v="ELC"/>
    <x v="1"/>
    <n v="610"/>
    <n v="44590"/>
    <x v="1"/>
  </r>
  <r>
    <n v="53"/>
    <x v="10"/>
    <n v="6304506751"/>
    <x v="47"/>
    <x v="2"/>
    <s v="GCR"/>
    <x v="2"/>
    <n v="0"/>
    <n v="1512"/>
    <x v="0"/>
  </r>
  <r>
    <n v="54"/>
    <x v="10"/>
    <n v="9600172043"/>
    <x v="48"/>
    <x v="3"/>
    <s v="FRU"/>
    <x v="3"/>
    <n v="1700"/>
    <n v="304300"/>
    <x v="0"/>
  </r>
  <r>
    <n v="55"/>
    <x v="11"/>
    <n v="7720033601"/>
    <x v="49"/>
    <x v="0"/>
    <s v="HSG"/>
    <x v="4"/>
    <n v="0"/>
    <n v="45000"/>
    <x v="2"/>
  </r>
  <r>
    <n v="56"/>
    <x v="11"/>
    <n v="8168172718"/>
    <x v="50"/>
    <x v="1"/>
    <s v="HAB"/>
    <x v="5"/>
    <n v="50"/>
    <n v="3475"/>
    <x v="0"/>
  </r>
  <r>
    <n v="57"/>
    <x v="11"/>
    <n v="9716614196"/>
    <x v="51"/>
    <x v="2"/>
    <s v="HAB"/>
    <x v="5"/>
    <n v="55"/>
    <n v="10745"/>
    <x v="3"/>
  </r>
  <r>
    <n v="60"/>
    <x v="12"/>
    <n v="8376829930"/>
    <x v="52"/>
    <x v="1"/>
    <s v="PCG"/>
    <x v="0"/>
    <n v="250"/>
    <n v="7400"/>
    <x v="3"/>
  </r>
  <r>
    <n v="62"/>
    <x v="12"/>
    <n v="7977304136"/>
    <x v="53"/>
    <x v="3"/>
    <s v="GCR"/>
    <x v="2"/>
    <n v="0"/>
    <n v="3840"/>
    <x v="0"/>
  </r>
  <r>
    <n v="64"/>
    <x v="12"/>
    <n v="8999800601"/>
    <x v="54"/>
    <x v="1"/>
    <s v="HSG"/>
    <x v="4"/>
    <n v="0"/>
    <n v="29900"/>
    <x v="1"/>
  </r>
  <r>
    <n v="65"/>
    <x v="12"/>
    <n v="9836288894"/>
    <x v="55"/>
    <x v="2"/>
    <s v="HAB"/>
    <x v="5"/>
    <n v="70"/>
    <n v="8066"/>
    <x v="3"/>
  </r>
  <r>
    <n v="66"/>
    <x v="13"/>
    <n v="9720105683"/>
    <x v="56"/>
    <x v="0"/>
    <s v="HSG"/>
    <x v="4"/>
    <n v="500"/>
    <n v="96700"/>
    <x v="0"/>
  </r>
  <r>
    <n v="68"/>
    <x v="13"/>
    <n v="9646925935"/>
    <x v="57"/>
    <x v="2"/>
    <s v="ELC"/>
    <x v="1"/>
    <n v="240"/>
    <n v="31660"/>
    <x v="1"/>
  </r>
  <r>
    <n v="69"/>
    <x v="13"/>
    <n v="8122216996"/>
    <x v="58"/>
    <x v="1"/>
    <s v="GCR"/>
    <x v="2"/>
    <n v="0"/>
    <n v="1320"/>
    <x v="3"/>
  </r>
  <r>
    <n v="71"/>
    <x v="13"/>
    <n v="9812022255"/>
    <x v="59"/>
    <x v="3"/>
    <s v="ELC"/>
    <x v="1"/>
    <n v="0"/>
    <n v="93728.25"/>
    <x v="2"/>
  </r>
  <r>
    <n v="72"/>
    <x v="13"/>
    <n v="9919561584"/>
    <x v="60"/>
    <x v="1"/>
    <s v="GCR"/>
    <x v="2"/>
    <n v="0"/>
    <n v="2025"/>
    <x v="3"/>
  </r>
  <r>
    <n v="73"/>
    <x v="14"/>
    <n v="9738837224"/>
    <x v="61"/>
    <x v="2"/>
    <s v="FRU"/>
    <x v="3"/>
    <n v="955"/>
    <n v="783845"/>
    <x v="1"/>
  </r>
  <r>
    <n v="74"/>
    <x v="14"/>
    <n v="9365739489"/>
    <x v="62"/>
    <x v="0"/>
    <s v="HSG"/>
    <x v="4"/>
    <n v="820"/>
    <n v="329180"/>
    <x v="0"/>
  </r>
  <r>
    <n v="75"/>
    <x v="14"/>
    <n v="8398025016"/>
    <x v="63"/>
    <x v="2"/>
    <s v="HAB"/>
    <x v="5"/>
    <n v="0"/>
    <n v="4200"/>
    <x v="1"/>
  </r>
  <r>
    <n v="76"/>
    <x v="14"/>
    <n v="9899913552"/>
    <x v="64"/>
    <x v="1"/>
    <s v="HSG"/>
    <x v="4"/>
    <n v="500"/>
    <n v="32500"/>
    <x v="1"/>
  </r>
  <r>
    <n v="77"/>
    <x v="14"/>
    <n v="8486781192"/>
    <x v="65"/>
    <x v="0"/>
    <s v="GCR"/>
    <x v="2"/>
    <n v="0"/>
    <n v="1320"/>
    <x v="0"/>
  </r>
  <r>
    <n v="79"/>
    <x v="14"/>
    <n v="9871811408"/>
    <x v="66"/>
    <x v="3"/>
    <s v="GCR"/>
    <x v="2"/>
    <n v="0"/>
    <n v="625"/>
    <x v="3"/>
  </r>
  <r>
    <n v="80"/>
    <x v="14"/>
    <n v="8686040401"/>
    <x v="67"/>
    <x v="2"/>
    <s v="HSG"/>
    <x v="4"/>
    <n v="0"/>
    <n v="6250"/>
    <x v="1"/>
  </r>
  <r>
    <n v="81"/>
    <x v="15"/>
    <n v="9650459839"/>
    <x v="68"/>
    <x v="0"/>
    <s v="PCG"/>
    <x v="0"/>
    <n v="110"/>
    <n v="4580"/>
    <x v="0"/>
  </r>
  <r>
    <n v="82"/>
    <x v="15"/>
    <n v="9431258975"/>
    <x v="69"/>
    <x v="1"/>
    <s v="HSG"/>
    <x v="4"/>
    <n v="100"/>
    <n v="17500"/>
    <x v="0"/>
  </r>
  <r>
    <n v="83"/>
    <x v="15"/>
    <n v="9719004555"/>
    <x v="70"/>
    <x v="2"/>
    <s v="GCR"/>
    <x v="2"/>
    <n v="0"/>
    <n v="3720"/>
    <x v="1"/>
  </r>
  <r>
    <n v="85"/>
    <x v="15"/>
    <n v="8294605083"/>
    <x v="71"/>
    <x v="1"/>
    <s v="HSG"/>
    <x v="4"/>
    <n v="50"/>
    <n v="19390"/>
    <x v="3"/>
  </r>
  <r>
    <n v="87"/>
    <x v="16"/>
    <n v="8697974361"/>
    <x v="72"/>
    <x v="0"/>
    <s v="GCR"/>
    <x v="2"/>
    <n v="0"/>
    <n v="2340"/>
    <x v="2"/>
  </r>
  <r>
    <n v="89"/>
    <x v="16"/>
    <n v="9695592778"/>
    <x v="73"/>
    <x v="2"/>
    <s v="GCR"/>
    <x v="2"/>
    <n v="0"/>
    <n v="625"/>
    <x v="3"/>
  </r>
  <r>
    <n v="90"/>
    <x v="16"/>
    <n v="9662330825"/>
    <x v="74"/>
    <x v="1"/>
    <s v="GCR"/>
    <x v="2"/>
    <n v="0"/>
    <n v="2760"/>
    <x v="1"/>
  </r>
  <r>
    <n v="91"/>
    <x v="16"/>
    <n v="8527092496"/>
    <x v="75"/>
    <x v="0"/>
    <s v="GCR"/>
    <x v="2"/>
    <n v="0"/>
    <n v="3485"/>
    <x v="0"/>
  </r>
  <r>
    <n v="92"/>
    <x v="17"/>
    <n v="1296612228"/>
    <x v="76"/>
    <x v="1"/>
    <s v="PCG"/>
    <x v="0"/>
    <n v="105"/>
    <n v="16615"/>
    <x v="3"/>
  </r>
  <r>
    <n v="93"/>
    <x v="17"/>
    <n v="9999174353"/>
    <x v="77"/>
    <x v="1"/>
    <s v="ELC"/>
    <x v="1"/>
    <n v="0"/>
    <n v="140400"/>
    <x v="2"/>
  </r>
  <r>
    <n v="95"/>
    <x v="18"/>
    <n v="9771216648"/>
    <x v="78"/>
    <x v="0"/>
    <s v="FRU"/>
    <x v="3"/>
    <n v="0"/>
    <n v="58000"/>
    <x v="0"/>
  </r>
  <r>
    <n v="96"/>
    <x v="18"/>
    <n v="9764767792"/>
    <x v="79"/>
    <x v="1"/>
    <s v="HSG"/>
    <x v="4"/>
    <n v="120"/>
    <n v="89880"/>
    <x v="1"/>
  </r>
  <r>
    <n v="97"/>
    <x v="18"/>
    <n v="9592537685"/>
    <x v="80"/>
    <x v="1"/>
    <s v="HAB"/>
    <x v="5"/>
    <n v="450"/>
    <n v="44550"/>
    <x v="1"/>
  </r>
  <r>
    <n v="99"/>
    <x v="19"/>
    <n v="8160576284"/>
    <x v="81"/>
    <x v="1"/>
    <s v="GCR"/>
    <x v="2"/>
    <n v="0"/>
    <n v="2700"/>
    <x v="2"/>
  </r>
  <r>
    <n v="100"/>
    <x v="19"/>
    <n v="8896342056"/>
    <x v="82"/>
    <x v="3"/>
    <s v="GCR"/>
    <x v="2"/>
    <n v="0"/>
    <n v="2190"/>
    <x v="3"/>
  </r>
  <r>
    <m/>
    <x v="20"/>
    <m/>
    <x v="83"/>
    <x v="4"/>
    <m/>
    <x v="6"/>
    <m/>
    <m/>
    <x v="4"/>
  </r>
  <r>
    <m/>
    <x v="20"/>
    <m/>
    <x v="83"/>
    <x v="4"/>
    <m/>
    <x v="6"/>
    <m/>
    <m/>
    <x v="4"/>
  </r>
  <r>
    <m/>
    <x v="20"/>
    <m/>
    <x v="83"/>
    <x v="4"/>
    <m/>
    <x v="6"/>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B47CFC-23FF-4674-9CCE-5BF614EBBF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Category ">
  <location ref="D3:E11" firstHeaderRow="1" firstDataRow="1" firstDataCol="1"/>
  <pivotFields count="10">
    <pivotField showAll="0"/>
    <pivotField numFmtId="14" showAll="0"/>
    <pivotField numFmtId="1" showAll="0"/>
    <pivotField showAll="0"/>
    <pivotField showAll="0">
      <items count="6">
        <item x="3"/>
        <item x="2"/>
        <item x="0"/>
        <item x="1"/>
        <item x="4"/>
        <item t="default"/>
      </items>
    </pivotField>
    <pivotField showAll="0"/>
    <pivotField axis="axisRow" showAll="0">
      <items count="8">
        <item x="0"/>
        <item x="1"/>
        <item x="3"/>
        <item x="2"/>
        <item x="5"/>
        <item x="4"/>
        <item x="6"/>
        <item t="default"/>
      </items>
    </pivotField>
    <pivotField numFmtId="164" showAll="0"/>
    <pivotField dataField="1" numFmtId="164" showAll="0"/>
    <pivotField showAll="0"/>
  </pivotFields>
  <rowFields count="1">
    <field x="6"/>
  </rowFields>
  <rowItems count="8">
    <i>
      <x/>
    </i>
    <i>
      <x v="1"/>
    </i>
    <i>
      <x v="2"/>
    </i>
    <i>
      <x v="3"/>
    </i>
    <i>
      <x v="4"/>
    </i>
    <i>
      <x v="5"/>
    </i>
    <i>
      <x v="6"/>
    </i>
    <i t="grand">
      <x/>
    </i>
  </rowItems>
  <colItems count="1">
    <i/>
  </colItems>
  <dataFields count="1">
    <dataField name="Total_Sales" fld="8" baseField="0" baseItem="0" numFmtId="164"/>
  </dataFields>
  <chartFormats count="8">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6" count="1" selected="0">
            <x v="1"/>
          </reference>
        </references>
      </pivotArea>
    </chartFormat>
    <chartFormat chart="15" format="2">
      <pivotArea type="data" outline="0" fieldPosition="0">
        <references count="2">
          <reference field="4294967294" count="1" selected="0">
            <x v="0"/>
          </reference>
          <reference field="6" count="1" selected="0">
            <x v="4"/>
          </reference>
        </references>
      </pivotArea>
    </chartFormat>
    <chartFormat chart="15" format="3">
      <pivotArea type="data" outline="0" fieldPosition="0">
        <references count="2">
          <reference field="4294967294" count="1" selected="0">
            <x v="0"/>
          </reference>
          <reference field="6" count="1" selected="0">
            <x v="3"/>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6" count="1" selected="0">
            <x v="1"/>
          </reference>
        </references>
      </pivotArea>
    </chartFormat>
    <chartFormat chart="17" format="10">
      <pivotArea type="data" outline="0" fieldPosition="0">
        <references count="2">
          <reference field="4294967294" count="1" selected="0">
            <x v="0"/>
          </reference>
          <reference field="6" count="1" selected="0">
            <x v="3"/>
          </reference>
        </references>
      </pivotArea>
    </chartFormat>
    <chartFormat chart="17" format="1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364DFB-1274-40DD-8613-EA377F8E79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ustomer Segmentaion ">
  <location ref="G3:H8" firstHeaderRow="1" firstDataRow="1" firstDataCol="1"/>
  <pivotFields count="10">
    <pivotField showAll="0"/>
    <pivotField numFmtId="14" showAll="0"/>
    <pivotField numFmtId="1" showAll="0"/>
    <pivotField showAll="0"/>
    <pivotField showAll="0"/>
    <pivotField showAll="0"/>
    <pivotField showAll="0"/>
    <pivotField numFmtId="164" showAll="0"/>
    <pivotField dataField="1" numFmtId="164" showAll="0"/>
    <pivotField axis="axisRow" showAll="0">
      <items count="6">
        <item x="2"/>
        <item x="0"/>
        <item x="3"/>
        <item x="1"/>
        <item h="1" x="4"/>
        <item t="default"/>
      </items>
    </pivotField>
  </pivotFields>
  <rowFields count="1">
    <field x="9"/>
  </rowFields>
  <rowItems count="5">
    <i>
      <x/>
    </i>
    <i>
      <x v="1"/>
    </i>
    <i>
      <x v="2"/>
    </i>
    <i>
      <x v="3"/>
    </i>
    <i t="grand">
      <x/>
    </i>
  </rowItems>
  <colItems count="1">
    <i/>
  </colItems>
  <dataFields count="1">
    <dataField name="Total_Sales" fld="8" baseField="0" baseItem="0" numFmtId="164"/>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9" count="1" selected="0">
            <x v="2"/>
          </reference>
        </references>
      </pivotArea>
    </chartFormat>
    <chartFormat chart="6" format="2">
      <pivotArea type="data" outline="0" fieldPosition="0">
        <references count="2">
          <reference field="4294967294" count="1" selected="0">
            <x v="0"/>
          </reference>
          <reference field="9"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9" count="1" selected="0">
            <x v="0"/>
          </reference>
        </references>
      </pivotArea>
    </chartFormat>
    <chartFormat chart="9"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A31544-2E80-47DE-9DCB-BEA03C4431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ate ">
  <location ref="J3:K24" firstHeaderRow="1" firstDataRow="1" firstDataCol="1"/>
  <pivotFields count="10">
    <pivotField showAll="0"/>
    <pivotField axis="axisRow" numFmtId="14" showAll="0">
      <items count="22">
        <item x="0"/>
        <item x="1"/>
        <item x="2"/>
        <item x="3"/>
        <item x="4"/>
        <item x="5"/>
        <item x="6"/>
        <item x="7"/>
        <item x="8"/>
        <item x="9"/>
        <item x="10"/>
        <item x="11"/>
        <item x="12"/>
        <item x="13"/>
        <item x="14"/>
        <item x="15"/>
        <item x="16"/>
        <item x="17"/>
        <item x="18"/>
        <item x="19"/>
        <item h="1" x="20"/>
        <item t="default"/>
      </items>
    </pivotField>
    <pivotField numFmtId="1" showAll="0"/>
    <pivotField showAll="0"/>
    <pivotField showAll="0"/>
    <pivotField showAll="0"/>
    <pivotField showAll="0"/>
    <pivotField numFmtId="164" showAll="0"/>
    <pivotField dataField="1" numFmtId="164"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_Sales" fld="8" baseField="0" baseItem="0" numFmtId="164"/>
  </dataFields>
  <formats count="1">
    <format dxfId="8">
      <pivotArea dataOnly="0" labelOnly="1" fieldPosition="0">
        <references count="1">
          <reference field="1" count="0"/>
        </references>
      </pivotArea>
    </format>
  </formats>
  <chartFormats count="9">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18"/>
          </reference>
        </references>
      </pivotArea>
    </chartFormat>
    <chartFormat chart="5" format="4">
      <pivotArea type="data" outline="0" fieldPosition="0">
        <references count="2">
          <reference field="4294967294" count="1" selected="0">
            <x v="0"/>
          </reference>
          <reference field="1" count="1" selected="0">
            <x v="12"/>
          </reference>
        </references>
      </pivotArea>
    </chartFormat>
    <chartFormat chart="5" format="5">
      <pivotArea type="data" outline="0" fieldPosition="0">
        <references count="2">
          <reference field="4294967294" count="1" selected="0">
            <x v="0"/>
          </reference>
          <reference field="1" count="1" selected="0">
            <x v="15"/>
          </reference>
        </references>
      </pivotArea>
    </chartFormat>
    <chartFormat chart="5" format="6">
      <pivotArea type="data" outline="0" fieldPosition="0">
        <references count="2">
          <reference field="4294967294" count="1" selected="0">
            <x v="0"/>
          </reference>
          <reference field="1" count="1" selected="0">
            <x v="19"/>
          </reference>
        </references>
      </pivotArea>
    </chartFormat>
    <chartFormat chart="5" format="7">
      <pivotArea type="data" outline="0" fieldPosition="0">
        <references count="2">
          <reference field="4294967294" count="1" selected="0">
            <x v="0"/>
          </reference>
          <reference field="1" count="1" selected="0">
            <x v="13"/>
          </reference>
        </references>
      </pivotArea>
    </chartFormat>
    <chartFormat chart="5" format="8">
      <pivotArea type="data" outline="0" fieldPosition="0">
        <references count="2">
          <reference field="4294967294" count="1" selected="0">
            <x v="0"/>
          </reference>
          <reference field="1" count="1" selected="0">
            <x v="4"/>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C2CBE5-BD3E-41C4-9B6E-0C11D2A3E5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
  <location ref="M3:N8" firstHeaderRow="1" firstDataRow="1" firstDataCol="1"/>
  <pivotFields count="10">
    <pivotField showAll="0"/>
    <pivotField numFmtId="14" showAll="0"/>
    <pivotField numFmtId="1" showAll="0"/>
    <pivotField showAll="0"/>
    <pivotField axis="axisRow" showAll="0">
      <items count="6">
        <item x="3"/>
        <item x="2"/>
        <item x="0"/>
        <item x="1"/>
        <item h="1" x="4"/>
        <item t="default"/>
      </items>
    </pivotField>
    <pivotField showAll="0"/>
    <pivotField showAll="0"/>
    <pivotField numFmtId="164" showAll="0"/>
    <pivotField dataField="1" numFmtId="164" showAll="0"/>
    <pivotField showAll="0"/>
  </pivotFields>
  <rowFields count="1">
    <field x="4"/>
  </rowFields>
  <rowItems count="5">
    <i>
      <x/>
    </i>
    <i>
      <x v="1"/>
    </i>
    <i>
      <x v="2"/>
    </i>
    <i>
      <x v="3"/>
    </i>
    <i t="grand">
      <x/>
    </i>
  </rowItems>
  <colItems count="1">
    <i/>
  </colItems>
  <dataFields count="1">
    <dataField name="Sum of Total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1589E4-D6B7-4311-AC1E-5AF8ED6A18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egion ">
  <location ref="A3:B9" firstHeaderRow="1" firstDataRow="1" firstDataCol="1"/>
  <pivotFields count="10">
    <pivotField showAll="0"/>
    <pivotField numFmtId="14" showAll="0"/>
    <pivotField numFmtId="1" showAll="0"/>
    <pivotField showAll="0"/>
    <pivotField axis="axisRow" showAll="0">
      <items count="6">
        <item x="3"/>
        <item x="2"/>
        <item x="0"/>
        <item x="1"/>
        <item x="4"/>
        <item t="default"/>
      </items>
    </pivotField>
    <pivotField showAll="0"/>
    <pivotField showAll="0"/>
    <pivotField numFmtId="164" showAll="0"/>
    <pivotField dataField="1" numFmtId="164" showAll="0"/>
    <pivotField showAll="0"/>
  </pivotFields>
  <rowFields count="1">
    <field x="4"/>
  </rowFields>
  <rowItems count="6">
    <i>
      <x/>
    </i>
    <i>
      <x v="1"/>
    </i>
    <i>
      <x v="2"/>
    </i>
    <i>
      <x v="3"/>
    </i>
    <i>
      <x v="4"/>
    </i>
    <i t="grand">
      <x/>
    </i>
  </rowItems>
  <colItems count="1">
    <i/>
  </colItems>
  <dataFields count="1">
    <dataField name="Total_Sales" fld="8" baseField="0" baseItem="0" numFmtId="164"/>
  </dataFields>
  <chartFormats count="6">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4" count="1" selected="0">
            <x v="1"/>
          </reference>
        </references>
      </pivotArea>
    </chartFormat>
    <chartFormat chart="18" format="2">
      <pivotArea type="data" outline="0" fieldPosition="0">
        <references count="2">
          <reference field="4294967294" count="1" selected="0">
            <x v="0"/>
          </reference>
          <reference field="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4" count="1" selected="0">
            <x v="0"/>
          </reference>
        </references>
      </pivotArea>
    </chartFormat>
    <chartFormat chart="20"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72B608-EBBC-4352-97F9-7025C0DA13E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ate">
  <location ref="A5:B26" firstHeaderRow="1" firstDataRow="1" firstDataCol="1"/>
  <pivotFields count="10">
    <pivotField showAll="0"/>
    <pivotField axis="axisRow" numFmtId="14" showAll="0">
      <items count="22">
        <item x="0"/>
        <item x="1"/>
        <item x="2"/>
        <item x="3"/>
        <item x="4"/>
        <item x="5"/>
        <item x="6"/>
        <item x="7"/>
        <item x="8"/>
        <item x="9"/>
        <item x="10"/>
        <item x="11"/>
        <item x="12"/>
        <item x="13"/>
        <item x="14"/>
        <item x="15"/>
        <item x="16"/>
        <item x="17"/>
        <item x="18"/>
        <item x="19"/>
        <item h="1" x="20"/>
        <item t="default"/>
      </items>
    </pivotField>
    <pivotField numFmtId="1" showAll="0"/>
    <pivotField showAll="0">
      <items count="85">
        <item x="78"/>
        <item x="8"/>
        <item x="42"/>
        <item x="73"/>
        <item x="37"/>
        <item x="67"/>
        <item x="52"/>
        <item x="19"/>
        <item x="60"/>
        <item x="49"/>
        <item x="74"/>
        <item x="31"/>
        <item x="2"/>
        <item x="41"/>
        <item x="38"/>
        <item x="11"/>
        <item x="13"/>
        <item x="3"/>
        <item x="18"/>
        <item x="63"/>
        <item x="35"/>
        <item x="21"/>
        <item x="58"/>
        <item x="51"/>
        <item x="29"/>
        <item x="27"/>
        <item x="17"/>
        <item x="72"/>
        <item x="10"/>
        <item x="69"/>
        <item x="46"/>
        <item x="5"/>
        <item x="82"/>
        <item x="22"/>
        <item x="14"/>
        <item x="30"/>
        <item x="32"/>
        <item x="75"/>
        <item x="16"/>
        <item x="80"/>
        <item x="26"/>
        <item x="54"/>
        <item x="57"/>
        <item x="25"/>
        <item x="76"/>
        <item x="71"/>
        <item x="15"/>
        <item x="45"/>
        <item x="43"/>
        <item x="68"/>
        <item x="79"/>
        <item x="20"/>
        <item x="24"/>
        <item x="50"/>
        <item x="70"/>
        <item x="56"/>
        <item x="81"/>
        <item x="66"/>
        <item x="7"/>
        <item x="44"/>
        <item x="1"/>
        <item x="47"/>
        <item x="59"/>
        <item x="64"/>
        <item x="6"/>
        <item x="61"/>
        <item x="55"/>
        <item x="40"/>
        <item x="4"/>
        <item x="34"/>
        <item x="23"/>
        <item x="65"/>
        <item x="39"/>
        <item x="36"/>
        <item x="12"/>
        <item x="62"/>
        <item x="0"/>
        <item x="9"/>
        <item x="28"/>
        <item x="48"/>
        <item x="53"/>
        <item x="77"/>
        <item x="33"/>
        <item x="83"/>
        <item t="default"/>
      </items>
    </pivotField>
    <pivotField showAll="0">
      <items count="6">
        <item x="3"/>
        <item x="2"/>
        <item x="0"/>
        <item x="1"/>
        <item x="4"/>
        <item t="default"/>
      </items>
    </pivotField>
    <pivotField showAll="0"/>
    <pivotField showAll="0">
      <items count="8">
        <item x="0"/>
        <item x="1"/>
        <item x="3"/>
        <item x="2"/>
        <item x="5"/>
        <item x="4"/>
        <item x="6"/>
        <item t="default"/>
      </items>
    </pivotField>
    <pivotField numFmtId="164" showAll="0"/>
    <pivotField dataField="1" numFmtId="164"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_Sales" fld="8" baseField="0" baseItem="0" numFmtId="164"/>
  </dataFields>
  <formats count="1">
    <format dxfId="7">
      <pivotArea dataOnly="0" labelOnly="1" fieldPosition="0">
        <references count="1">
          <reference field="1"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9E20559-BF0B-4026-B628-77D37D788FC5}" sourceName="Date">
  <pivotTables>
    <pivotTable tabId="4" name="PivotTable9"/>
  </pivotTables>
  <data>
    <tabular pivotCacheId="1388762985">
      <items count="21">
        <i x="0" s="1"/>
        <i x="1" s="1"/>
        <i x="2" s="1"/>
        <i x="3" s="1"/>
        <i x="4" s="1"/>
        <i x="5" s="1"/>
        <i x="6" s="1"/>
        <i x="7" s="1"/>
        <i x="8" s="1"/>
        <i x="9" s="1"/>
        <i x="10" s="1"/>
        <i x="11" s="1"/>
        <i x="12" s="1"/>
        <i x="13" s="1"/>
        <i x="14" s="1"/>
        <i x="15" s="1"/>
        <i x="16" s="1"/>
        <i x="17" s="1"/>
        <i x="18" s="1"/>
        <i x="19" s="1"/>
        <i x="2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9C8B36C6-A5E7-4875-AC72-1C9681F75C18}" sourceName="Customer Name">
  <pivotTables>
    <pivotTable tabId="4" name="PivotTable9"/>
  </pivotTables>
  <data>
    <tabular pivotCacheId="1388762985">
      <items count="84">
        <i x="78" s="1"/>
        <i x="8" s="1"/>
        <i x="42" s="1"/>
        <i x="73" s="1"/>
        <i x="37" s="1"/>
        <i x="67" s="1"/>
        <i x="52" s="1"/>
        <i x="19" s="1"/>
        <i x="60" s="1"/>
        <i x="49" s="1"/>
        <i x="74" s="1"/>
        <i x="31" s="1"/>
        <i x="2" s="1"/>
        <i x="41" s="1"/>
        <i x="38" s="1"/>
        <i x="11" s="1"/>
        <i x="13" s="1"/>
        <i x="3" s="1"/>
        <i x="18" s="1"/>
        <i x="63" s="1"/>
        <i x="35" s="1"/>
        <i x="21" s="1"/>
        <i x="58" s="1"/>
        <i x="51" s="1"/>
        <i x="29" s="1"/>
        <i x="27" s="1"/>
        <i x="17" s="1"/>
        <i x="72" s="1"/>
        <i x="10" s="1"/>
        <i x="69" s="1"/>
        <i x="46" s="1"/>
        <i x="5" s="1"/>
        <i x="82" s="1"/>
        <i x="22" s="1"/>
        <i x="14" s="1"/>
        <i x="30" s="1"/>
        <i x="32" s="1"/>
        <i x="75" s="1"/>
        <i x="16" s="1"/>
        <i x="80" s="1"/>
        <i x="26" s="1"/>
        <i x="54" s="1"/>
        <i x="57" s="1"/>
        <i x="25" s="1"/>
        <i x="76" s="1"/>
        <i x="71" s="1"/>
        <i x="15" s="1"/>
        <i x="45" s="1"/>
        <i x="43" s="1"/>
        <i x="68" s="1"/>
        <i x="79" s="1"/>
        <i x="20" s="1"/>
        <i x="24" s="1"/>
        <i x="50" s="1"/>
        <i x="70" s="1"/>
        <i x="56" s="1"/>
        <i x="81" s="1"/>
        <i x="66" s="1"/>
        <i x="7" s="1"/>
        <i x="44" s="1"/>
        <i x="1" s="1"/>
        <i x="47" s="1"/>
        <i x="59" s="1"/>
        <i x="64" s="1"/>
        <i x="6" s="1"/>
        <i x="61" s="1"/>
        <i x="55" s="1"/>
        <i x="40" s="1"/>
        <i x="4" s="1"/>
        <i x="34" s="1"/>
        <i x="23" s="1"/>
        <i x="65" s="1"/>
        <i x="39" s="1"/>
        <i x="36" s="1"/>
        <i x="12" s="1"/>
        <i x="62" s="1"/>
        <i x="0" s="1"/>
        <i x="9" s="1"/>
        <i x="28" s="1"/>
        <i x="48" s="1"/>
        <i x="53" s="1"/>
        <i x="77" s="1"/>
        <i x="33" s="1"/>
        <i x="8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6C8D81-2267-45FB-B598-CFCC3A107197}" sourceName="Region">
  <pivotTables>
    <pivotTable tabId="4" name="PivotTable9"/>
    <pivotTable tabId="2" name="PivotTable1"/>
    <pivotTable tabId="2" name="PivotTable2"/>
  </pivotTables>
  <data>
    <tabular pivotCacheId="1388762985">
      <items count="5">
        <i x="3" s="1"/>
        <i x="2" s="1"/>
        <i x="0" s="1"/>
        <i x="1"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D0CA996-23F0-45D5-AC1A-8E45D239263D}" sourceName="Product Category">
  <pivotTables>
    <pivotTable tabId="4" name="PivotTable9"/>
  </pivotTables>
  <data>
    <tabular pivotCacheId="1388762985">
      <items count="7">
        <i x="0" s="1"/>
        <i x="1" s="1"/>
        <i x="3" s="1"/>
        <i x="2" s="1"/>
        <i x="5" s="1"/>
        <i x="4"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F28DF3E-4E82-4684-87A9-2E55BBA0E922}" cache="Slicer_Date" caption="Date" rowHeight="247650"/>
  <slicer name="Customer Name" xr10:uid="{4C516F19-03E3-42D2-807D-341EBF04A3C9}" cache="Slicer_Customer_Name" caption="Customer Name" rowHeight="247650"/>
  <slicer name="Region" xr10:uid="{BF00D269-FE45-4668-B675-FD90BD4FA6D6}" cache="Slicer_Region" caption="Region" rowHeight="247650"/>
  <slicer name="Product Category" xr10:uid="{ABA4D84F-5D38-433C-932C-6D1A9CD6C7D5}" cache="Slicer_Product_Category" caption="Product 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1BAF-54D8-4224-BC69-20BE346DF04C}">
  <dimension ref="A1:J84"/>
  <sheetViews>
    <sheetView workbookViewId="0">
      <selection activeCell="N8" sqref="N8"/>
    </sheetView>
  </sheetViews>
  <sheetFormatPr defaultRowHeight="14.4" x14ac:dyDescent="0.3"/>
  <cols>
    <col min="1" max="1" width="9" bestFit="1" customWidth="1"/>
    <col min="2" max="2" width="11.109375" bestFit="1" customWidth="1"/>
    <col min="3" max="3" width="12.77734375" bestFit="1" customWidth="1"/>
    <col min="4" max="4" width="25.21875" bestFit="1" customWidth="1"/>
    <col min="5" max="5" width="8.21875" bestFit="1" customWidth="1"/>
    <col min="6" max="6" width="14.21875" bestFit="1" customWidth="1"/>
    <col min="7" max="7" width="17.88671875" bestFit="1" customWidth="1"/>
    <col min="8" max="8" width="10.21875" bestFit="1" customWidth="1"/>
    <col min="9" max="9" width="13.109375" bestFit="1" customWidth="1"/>
    <col min="10" max="10" width="19.5546875" bestFit="1" customWidth="1"/>
  </cols>
  <sheetData>
    <row r="1" spans="1:10" ht="15" thickBot="1" x14ac:dyDescent="0.35">
      <c r="A1" s="1" t="s">
        <v>0</v>
      </c>
      <c r="B1" s="2" t="s">
        <v>1</v>
      </c>
      <c r="C1" s="3" t="s">
        <v>2</v>
      </c>
      <c r="D1" s="2" t="s">
        <v>3</v>
      </c>
      <c r="E1" s="2" t="s">
        <v>4</v>
      </c>
      <c r="F1" s="2" t="s">
        <v>5</v>
      </c>
      <c r="G1" s="2" t="s">
        <v>6</v>
      </c>
      <c r="H1" s="2" t="s">
        <v>7</v>
      </c>
      <c r="I1" s="2" t="s">
        <v>8</v>
      </c>
      <c r="J1" s="4" t="s">
        <v>9</v>
      </c>
    </row>
    <row r="2" spans="1:10" ht="15" thickBot="1" x14ac:dyDescent="0.35">
      <c r="A2" s="5">
        <v>1</v>
      </c>
      <c r="B2" s="6">
        <v>45778</v>
      </c>
      <c r="C2" s="7">
        <v>8506861171</v>
      </c>
      <c r="D2" s="6" t="s">
        <v>10</v>
      </c>
      <c r="E2" s="6" t="s">
        <v>25</v>
      </c>
      <c r="F2" s="8" t="s">
        <v>11</v>
      </c>
      <c r="G2" s="8" t="s">
        <v>12</v>
      </c>
      <c r="H2" s="9">
        <v>50</v>
      </c>
      <c r="I2" s="9">
        <v>850</v>
      </c>
      <c r="J2" s="10" t="s">
        <v>13</v>
      </c>
    </row>
    <row r="3" spans="1:10" ht="15" thickBot="1" x14ac:dyDescent="0.35">
      <c r="A3" s="11">
        <v>2</v>
      </c>
      <c r="B3" s="12">
        <v>45778</v>
      </c>
      <c r="C3" s="13">
        <v>9953655717</v>
      </c>
      <c r="D3" s="6" t="s">
        <v>14</v>
      </c>
      <c r="E3" s="6" t="s">
        <v>15</v>
      </c>
      <c r="F3" s="14" t="s">
        <v>16</v>
      </c>
      <c r="G3" s="14" t="s">
        <v>17</v>
      </c>
      <c r="H3" s="15">
        <v>330</v>
      </c>
      <c r="I3" s="15">
        <v>22270</v>
      </c>
      <c r="J3" s="16" t="s">
        <v>18</v>
      </c>
    </row>
    <row r="4" spans="1:10" ht="15" thickBot="1" x14ac:dyDescent="0.35">
      <c r="A4" s="11">
        <v>3</v>
      </c>
      <c r="B4" s="12">
        <v>45778</v>
      </c>
      <c r="C4" s="13">
        <v>9920313736</v>
      </c>
      <c r="D4" s="6" t="s">
        <v>101</v>
      </c>
      <c r="E4" s="6" t="s">
        <v>19</v>
      </c>
      <c r="F4" s="14" t="s">
        <v>20</v>
      </c>
      <c r="G4" s="14" t="s">
        <v>21</v>
      </c>
      <c r="H4" s="15">
        <v>0</v>
      </c>
      <c r="I4" s="15">
        <v>630</v>
      </c>
      <c r="J4" s="16" t="s">
        <v>13</v>
      </c>
    </row>
    <row r="5" spans="1:10" ht="15" thickBot="1" x14ac:dyDescent="0.35">
      <c r="A5" s="11">
        <v>4</v>
      </c>
      <c r="B5" s="12">
        <v>45778</v>
      </c>
      <c r="C5" s="13">
        <v>9422331154</v>
      </c>
      <c r="D5" s="6" t="s">
        <v>22</v>
      </c>
      <c r="E5" s="6" t="s">
        <v>38</v>
      </c>
      <c r="F5" s="14" t="s">
        <v>23</v>
      </c>
      <c r="G5" s="14" t="s">
        <v>24</v>
      </c>
      <c r="H5" s="15">
        <v>1700</v>
      </c>
      <c r="I5" s="15">
        <v>100300</v>
      </c>
      <c r="J5" s="16" t="s">
        <v>13</v>
      </c>
    </row>
    <row r="6" spans="1:10" ht="15" thickBot="1" x14ac:dyDescent="0.35">
      <c r="A6" s="11">
        <v>5</v>
      </c>
      <c r="B6" s="12">
        <v>45778</v>
      </c>
      <c r="C6" s="13">
        <v>8053100106</v>
      </c>
      <c r="D6" s="6" t="s">
        <v>102</v>
      </c>
      <c r="E6" s="6" t="s">
        <v>25</v>
      </c>
      <c r="F6" s="14" t="s">
        <v>26</v>
      </c>
      <c r="G6" s="14" t="s">
        <v>27</v>
      </c>
      <c r="H6" s="15">
        <v>0</v>
      </c>
      <c r="I6" s="15">
        <v>22500</v>
      </c>
      <c r="J6" s="16" t="s">
        <v>28</v>
      </c>
    </row>
    <row r="7" spans="1:10" ht="15" thickBot="1" x14ac:dyDescent="0.35">
      <c r="A7" s="11">
        <v>6</v>
      </c>
      <c r="B7" s="12">
        <v>45779</v>
      </c>
      <c r="C7" s="13">
        <v>8860663473</v>
      </c>
      <c r="D7" s="6" t="s">
        <v>29</v>
      </c>
      <c r="E7" s="6" t="s">
        <v>15</v>
      </c>
      <c r="F7" s="14" t="s">
        <v>30</v>
      </c>
      <c r="G7" s="14" t="s">
        <v>31</v>
      </c>
      <c r="H7" s="15">
        <v>50</v>
      </c>
      <c r="I7" s="15">
        <v>1125</v>
      </c>
      <c r="J7" s="16" t="s">
        <v>13</v>
      </c>
    </row>
    <row r="8" spans="1:10" ht="15" thickBot="1" x14ac:dyDescent="0.35">
      <c r="A8" s="11">
        <v>7</v>
      </c>
      <c r="B8" s="12">
        <v>45779</v>
      </c>
      <c r="C8" s="13">
        <v>9703227282</v>
      </c>
      <c r="D8" s="6" t="s">
        <v>32</v>
      </c>
      <c r="E8" s="6" t="s">
        <v>19</v>
      </c>
      <c r="F8" s="14" t="s">
        <v>30</v>
      </c>
      <c r="G8" s="14" t="str">
        <f>G7</f>
        <v>Health and Beauty</v>
      </c>
      <c r="H8" s="15">
        <v>105</v>
      </c>
      <c r="I8" s="15">
        <v>4395</v>
      </c>
      <c r="J8" s="16" t="s">
        <v>33</v>
      </c>
    </row>
    <row r="9" spans="1:10" ht="15" thickBot="1" x14ac:dyDescent="0.35">
      <c r="A9" s="11">
        <v>8</v>
      </c>
      <c r="B9" s="12">
        <v>45779</v>
      </c>
      <c r="C9" s="13">
        <v>9958569893</v>
      </c>
      <c r="D9" s="6" t="s">
        <v>34</v>
      </c>
      <c r="E9" s="6" t="s">
        <v>15</v>
      </c>
      <c r="F9" s="14" t="s">
        <v>20</v>
      </c>
      <c r="G9" s="14" t="s">
        <v>21</v>
      </c>
      <c r="H9" s="15">
        <v>0</v>
      </c>
      <c r="I9" s="15">
        <v>875</v>
      </c>
      <c r="J9" s="16" t="s">
        <v>13</v>
      </c>
    </row>
    <row r="10" spans="1:10" ht="15" thickBot="1" x14ac:dyDescent="0.35">
      <c r="A10" s="11">
        <v>9</v>
      </c>
      <c r="B10" s="12">
        <v>45779</v>
      </c>
      <c r="C10" s="13">
        <v>9968373411</v>
      </c>
      <c r="D10" s="6" t="s">
        <v>35</v>
      </c>
      <c r="E10" s="6" t="s">
        <v>25</v>
      </c>
      <c r="F10" s="14" t="s">
        <v>26</v>
      </c>
      <c r="G10" s="14" t="s">
        <v>27</v>
      </c>
      <c r="H10" s="15">
        <v>0</v>
      </c>
      <c r="I10" s="15">
        <v>7000</v>
      </c>
      <c r="J10" s="16" t="s">
        <v>28</v>
      </c>
    </row>
    <row r="11" spans="1:10" ht="15" thickBot="1" x14ac:dyDescent="0.35">
      <c r="A11" s="11">
        <v>10</v>
      </c>
      <c r="B11" s="12">
        <v>45779</v>
      </c>
      <c r="C11" s="13">
        <v>8726370524</v>
      </c>
      <c r="D11" s="6" t="s">
        <v>36</v>
      </c>
      <c r="E11" s="6" t="s">
        <v>15</v>
      </c>
      <c r="F11" s="14" t="s">
        <v>11</v>
      </c>
      <c r="G11" s="14" t="s">
        <v>12</v>
      </c>
      <c r="H11" s="15">
        <v>175</v>
      </c>
      <c r="I11" s="15">
        <v>2375</v>
      </c>
      <c r="J11" s="16" t="s">
        <v>33</v>
      </c>
    </row>
    <row r="12" spans="1:10" ht="15" thickBot="1" x14ac:dyDescent="0.35">
      <c r="A12" s="11">
        <v>11</v>
      </c>
      <c r="B12" s="12">
        <v>45780</v>
      </c>
      <c r="C12" s="13">
        <v>7501087524</v>
      </c>
      <c r="D12" s="6" t="s">
        <v>37</v>
      </c>
      <c r="E12" s="6" t="s">
        <v>19</v>
      </c>
      <c r="F12" s="14" t="s">
        <v>16</v>
      </c>
      <c r="G12" s="14" t="s">
        <v>17</v>
      </c>
      <c r="H12" s="15">
        <v>125</v>
      </c>
      <c r="I12" s="15">
        <v>3475</v>
      </c>
      <c r="J12" s="16" t="s">
        <v>13</v>
      </c>
    </row>
    <row r="13" spans="1:10" ht="15" thickBot="1" x14ac:dyDescent="0.35">
      <c r="A13" s="11">
        <v>12</v>
      </c>
      <c r="B13" s="12">
        <v>45780</v>
      </c>
      <c r="C13" s="13">
        <v>7973328491</v>
      </c>
      <c r="D13" s="6" t="s">
        <v>103</v>
      </c>
      <c r="E13" s="6" t="s">
        <v>38</v>
      </c>
      <c r="F13" s="14" t="s">
        <v>20</v>
      </c>
      <c r="G13" s="14" t="s">
        <v>21</v>
      </c>
      <c r="H13" s="15">
        <v>0</v>
      </c>
      <c r="I13" s="15">
        <v>1760</v>
      </c>
      <c r="J13" s="16" t="s">
        <v>13</v>
      </c>
    </row>
    <row r="14" spans="1:10" ht="15" thickBot="1" x14ac:dyDescent="0.35">
      <c r="A14" s="11">
        <v>13</v>
      </c>
      <c r="B14" s="12">
        <v>45780</v>
      </c>
      <c r="C14" s="13">
        <v>8655912093</v>
      </c>
      <c r="D14" s="6" t="s">
        <v>39</v>
      </c>
      <c r="E14" s="6" t="s">
        <v>25</v>
      </c>
      <c r="F14" s="14" t="s">
        <v>23</v>
      </c>
      <c r="G14" s="14" t="s">
        <v>24</v>
      </c>
      <c r="H14" s="15">
        <v>225</v>
      </c>
      <c r="I14" s="15">
        <v>65775</v>
      </c>
      <c r="J14" s="16" t="s">
        <v>13</v>
      </c>
    </row>
    <row r="15" spans="1:10" ht="15" thickBot="1" x14ac:dyDescent="0.35">
      <c r="A15" s="11">
        <v>14</v>
      </c>
      <c r="B15" s="12">
        <v>45781</v>
      </c>
      <c r="C15" s="13">
        <v>9990476099</v>
      </c>
      <c r="D15" s="6" t="s">
        <v>40</v>
      </c>
      <c r="E15" s="6" t="s">
        <v>15</v>
      </c>
      <c r="F15" s="14" t="s">
        <v>26</v>
      </c>
      <c r="G15" s="14" t="s">
        <v>27</v>
      </c>
      <c r="H15" s="15">
        <v>100</v>
      </c>
      <c r="I15" s="15">
        <v>24600</v>
      </c>
      <c r="J15" s="16" t="s">
        <v>18</v>
      </c>
    </row>
    <row r="16" spans="1:10" ht="15" thickBot="1" x14ac:dyDescent="0.35">
      <c r="A16" s="11">
        <v>15</v>
      </c>
      <c r="B16" s="12">
        <v>45781</v>
      </c>
      <c r="C16" s="13">
        <v>9972652245</v>
      </c>
      <c r="D16" s="6" t="s">
        <v>104</v>
      </c>
      <c r="E16" s="6" t="s">
        <v>19</v>
      </c>
      <c r="F16" s="14" t="s">
        <v>30</v>
      </c>
      <c r="G16" s="14" t="s">
        <v>31</v>
      </c>
      <c r="H16" s="15">
        <v>35</v>
      </c>
      <c r="I16" s="15">
        <v>4033</v>
      </c>
      <c r="J16" s="16" t="s">
        <v>33</v>
      </c>
    </row>
    <row r="17" spans="1:10" ht="15" thickBot="1" x14ac:dyDescent="0.35">
      <c r="A17" s="11">
        <v>16</v>
      </c>
      <c r="B17" s="12">
        <v>45781</v>
      </c>
      <c r="C17" s="13">
        <v>9836330073</v>
      </c>
      <c r="D17" s="6" t="s">
        <v>41</v>
      </c>
      <c r="E17" s="6" t="s">
        <v>25</v>
      </c>
      <c r="F17" s="14" t="s">
        <v>26</v>
      </c>
      <c r="G17" s="14" t="s">
        <v>27</v>
      </c>
      <c r="H17" s="15">
        <v>500</v>
      </c>
      <c r="I17" s="15">
        <v>67000</v>
      </c>
      <c r="J17" s="16" t="s">
        <v>13</v>
      </c>
    </row>
    <row r="18" spans="1:10" ht="15" thickBot="1" x14ac:dyDescent="0.35">
      <c r="A18" s="11">
        <v>17</v>
      </c>
      <c r="B18" s="12">
        <v>45781</v>
      </c>
      <c r="C18" s="13">
        <v>9536592304</v>
      </c>
      <c r="D18" s="6" t="s">
        <v>42</v>
      </c>
      <c r="E18" s="6" t="s">
        <v>15</v>
      </c>
      <c r="F18" s="14" t="s">
        <v>26</v>
      </c>
      <c r="G18" s="14" t="str">
        <f>G17</f>
        <v>Home Goods</v>
      </c>
      <c r="H18" s="15">
        <v>250</v>
      </c>
      <c r="I18" s="15">
        <v>651650</v>
      </c>
      <c r="J18" s="16" t="s">
        <v>13</v>
      </c>
    </row>
    <row r="19" spans="1:10" ht="15" thickBot="1" x14ac:dyDescent="0.35">
      <c r="A19" s="11">
        <v>18</v>
      </c>
      <c r="B19" s="12">
        <v>45781</v>
      </c>
      <c r="C19" s="13">
        <v>9140310269</v>
      </c>
      <c r="D19" s="6" t="s">
        <v>43</v>
      </c>
      <c r="E19" s="6" t="s">
        <v>19</v>
      </c>
      <c r="F19" s="14" t="s">
        <v>16</v>
      </c>
      <c r="G19" s="14" t="s">
        <v>17</v>
      </c>
      <c r="H19" s="15">
        <v>240</v>
      </c>
      <c r="I19" s="15">
        <v>14260</v>
      </c>
      <c r="J19" s="16" t="s">
        <v>18</v>
      </c>
    </row>
    <row r="20" spans="1:10" ht="15" thickBot="1" x14ac:dyDescent="0.35">
      <c r="A20" s="11">
        <v>19</v>
      </c>
      <c r="B20" s="12">
        <v>45782</v>
      </c>
      <c r="C20" s="13">
        <v>9810314100</v>
      </c>
      <c r="D20" s="6" t="s">
        <v>44</v>
      </c>
      <c r="E20" s="6" t="s">
        <v>15</v>
      </c>
      <c r="F20" s="14" t="s">
        <v>20</v>
      </c>
      <c r="G20" s="14" t="s">
        <v>21</v>
      </c>
      <c r="H20" s="15">
        <v>0</v>
      </c>
      <c r="I20" s="15">
        <v>770</v>
      </c>
      <c r="J20" s="16" t="s">
        <v>33</v>
      </c>
    </row>
    <row r="21" spans="1:10" ht="15" thickBot="1" x14ac:dyDescent="0.35">
      <c r="A21" s="11">
        <v>20</v>
      </c>
      <c r="B21" s="12">
        <v>45782</v>
      </c>
      <c r="C21" s="13">
        <v>9051678541</v>
      </c>
      <c r="D21" s="6" t="s">
        <v>45</v>
      </c>
      <c r="E21" s="6" t="s">
        <v>25</v>
      </c>
      <c r="F21" s="14" t="s">
        <v>11</v>
      </c>
      <c r="G21" s="14" t="s">
        <v>12</v>
      </c>
      <c r="H21" s="15">
        <v>125</v>
      </c>
      <c r="I21" s="15">
        <v>4075</v>
      </c>
      <c r="J21" s="16" t="s">
        <v>13</v>
      </c>
    </row>
    <row r="22" spans="1:10" ht="15" thickBot="1" x14ac:dyDescent="0.35">
      <c r="A22" s="11">
        <v>21</v>
      </c>
      <c r="B22" s="12">
        <v>45782</v>
      </c>
      <c r="C22" s="13">
        <v>9729990031</v>
      </c>
      <c r="D22" s="6" t="s">
        <v>105</v>
      </c>
      <c r="E22" s="6" t="s">
        <v>38</v>
      </c>
      <c r="F22" s="14" t="s">
        <v>16</v>
      </c>
      <c r="G22" s="14" t="s">
        <v>17</v>
      </c>
      <c r="H22" s="15">
        <v>1135</v>
      </c>
      <c r="I22" s="15">
        <v>36735</v>
      </c>
      <c r="J22" s="16" t="s">
        <v>28</v>
      </c>
    </row>
    <row r="23" spans="1:10" ht="15" thickBot="1" x14ac:dyDescent="0.35">
      <c r="A23" s="11">
        <v>22</v>
      </c>
      <c r="B23" s="12">
        <v>45782</v>
      </c>
      <c r="C23" s="13">
        <v>9038568825</v>
      </c>
      <c r="D23" s="6" t="s">
        <v>46</v>
      </c>
      <c r="E23" s="6" t="s">
        <v>15</v>
      </c>
      <c r="F23" s="14" t="s">
        <v>20</v>
      </c>
      <c r="G23" s="14" t="s">
        <v>21</v>
      </c>
      <c r="H23" s="15">
        <v>0</v>
      </c>
      <c r="I23" s="15">
        <v>1575</v>
      </c>
      <c r="J23" s="16" t="s">
        <v>33</v>
      </c>
    </row>
    <row r="24" spans="1:10" ht="15" thickBot="1" x14ac:dyDescent="0.35">
      <c r="A24" s="11">
        <v>23</v>
      </c>
      <c r="B24" s="12">
        <v>45782</v>
      </c>
      <c r="C24" s="13">
        <v>8886851113</v>
      </c>
      <c r="D24" s="6" t="s">
        <v>106</v>
      </c>
      <c r="E24" s="6" t="s">
        <v>19</v>
      </c>
      <c r="F24" s="14" t="s">
        <v>23</v>
      </c>
      <c r="G24" s="14" t="s">
        <v>24</v>
      </c>
      <c r="H24" s="15">
        <v>465</v>
      </c>
      <c r="I24" s="15">
        <v>239335</v>
      </c>
      <c r="J24" s="16" t="s">
        <v>18</v>
      </c>
    </row>
    <row r="25" spans="1:10" ht="15" thickBot="1" x14ac:dyDescent="0.35">
      <c r="A25" s="11">
        <v>25</v>
      </c>
      <c r="B25" s="12">
        <v>45782</v>
      </c>
      <c r="C25" s="13">
        <v>7428290126</v>
      </c>
      <c r="D25" s="6" t="s">
        <v>47</v>
      </c>
      <c r="E25" s="6" t="s">
        <v>19</v>
      </c>
      <c r="F25" s="14" t="s">
        <v>30</v>
      </c>
      <c r="G25" s="14" t="s">
        <v>31</v>
      </c>
      <c r="H25" s="15">
        <v>0</v>
      </c>
      <c r="I25" s="15">
        <v>2100</v>
      </c>
      <c r="J25" s="16" t="s">
        <v>18</v>
      </c>
    </row>
    <row r="26" spans="1:10" ht="15" thickBot="1" x14ac:dyDescent="0.35">
      <c r="A26" s="11">
        <v>26</v>
      </c>
      <c r="B26" s="12">
        <v>45783</v>
      </c>
      <c r="C26" s="13">
        <v>9791160051</v>
      </c>
      <c r="D26" s="6" t="s">
        <v>48</v>
      </c>
      <c r="E26" s="6" t="s">
        <v>15</v>
      </c>
      <c r="F26" s="14" t="s">
        <v>26</v>
      </c>
      <c r="G26" s="14" t="s">
        <v>27</v>
      </c>
      <c r="H26" s="15">
        <v>300</v>
      </c>
      <c r="I26" s="15">
        <v>24450</v>
      </c>
      <c r="J26" s="16" t="s">
        <v>18</v>
      </c>
    </row>
    <row r="27" spans="1:10" ht="15" thickBot="1" x14ac:dyDescent="0.35">
      <c r="A27" s="11">
        <v>27</v>
      </c>
      <c r="B27" s="12">
        <v>45783</v>
      </c>
      <c r="C27" s="13">
        <v>8697562169</v>
      </c>
      <c r="D27" s="6" t="s">
        <v>49</v>
      </c>
      <c r="E27" s="6" t="s">
        <v>25</v>
      </c>
      <c r="F27" s="14" t="s">
        <v>20</v>
      </c>
      <c r="G27" s="14" t="s">
        <v>21</v>
      </c>
      <c r="H27" s="15">
        <v>0</v>
      </c>
      <c r="I27" s="15">
        <v>550</v>
      </c>
      <c r="J27" s="16" t="s">
        <v>13</v>
      </c>
    </row>
    <row r="28" spans="1:10" ht="15" thickBot="1" x14ac:dyDescent="0.35">
      <c r="A28" s="11">
        <v>28</v>
      </c>
      <c r="B28" s="12">
        <v>45783</v>
      </c>
      <c r="C28" s="13">
        <v>8981753938</v>
      </c>
      <c r="D28" s="6" t="s">
        <v>50</v>
      </c>
      <c r="E28" s="6" t="s">
        <v>15</v>
      </c>
      <c r="F28" s="14" t="s">
        <v>26</v>
      </c>
      <c r="G28" s="14" t="s">
        <v>27</v>
      </c>
      <c r="H28" s="15">
        <v>0</v>
      </c>
      <c r="I28" s="15">
        <v>94500</v>
      </c>
      <c r="J28" s="16" t="s">
        <v>13</v>
      </c>
    </row>
    <row r="29" spans="1:10" ht="15" thickBot="1" x14ac:dyDescent="0.35">
      <c r="A29" s="11">
        <v>29</v>
      </c>
      <c r="B29" s="12">
        <v>45783</v>
      </c>
      <c r="C29" s="13">
        <v>9080181775</v>
      </c>
      <c r="D29" s="6" t="s">
        <v>51</v>
      </c>
      <c r="E29" s="6" t="s">
        <v>38</v>
      </c>
      <c r="F29" s="14" t="s">
        <v>20</v>
      </c>
      <c r="G29" s="14" t="s">
        <v>21</v>
      </c>
      <c r="H29" s="15">
        <v>0</v>
      </c>
      <c r="I29" s="15">
        <v>125</v>
      </c>
      <c r="J29" s="16" t="s">
        <v>33</v>
      </c>
    </row>
    <row r="30" spans="1:10" ht="15" thickBot="1" x14ac:dyDescent="0.35">
      <c r="A30" s="11">
        <v>30</v>
      </c>
      <c r="B30" s="12">
        <v>45783</v>
      </c>
      <c r="C30" s="13">
        <v>7760345546</v>
      </c>
      <c r="D30" s="6" t="s">
        <v>52</v>
      </c>
      <c r="E30" s="6" t="s">
        <v>19</v>
      </c>
      <c r="F30" s="14" t="s">
        <v>26</v>
      </c>
      <c r="G30" s="14" t="s">
        <v>27</v>
      </c>
      <c r="H30" s="15">
        <v>0</v>
      </c>
      <c r="I30" s="15">
        <v>3750</v>
      </c>
      <c r="J30" s="16" t="s">
        <v>18</v>
      </c>
    </row>
    <row r="31" spans="1:10" ht="15" thickBot="1" x14ac:dyDescent="0.35">
      <c r="A31" s="11">
        <v>32</v>
      </c>
      <c r="B31" s="12">
        <v>45783</v>
      </c>
      <c r="C31" s="13">
        <v>7980456893</v>
      </c>
      <c r="D31" s="6" t="s">
        <v>107</v>
      </c>
      <c r="E31" s="6" t="s">
        <v>15</v>
      </c>
      <c r="F31" s="14" t="s">
        <v>26</v>
      </c>
      <c r="G31" s="14" t="s">
        <v>27</v>
      </c>
      <c r="H31" s="15">
        <v>0</v>
      </c>
      <c r="I31" s="15">
        <v>8800</v>
      </c>
      <c r="J31" s="16" t="s">
        <v>13</v>
      </c>
    </row>
    <row r="32" spans="1:10" ht="15" thickBot="1" x14ac:dyDescent="0.35">
      <c r="A32" s="11">
        <v>33</v>
      </c>
      <c r="B32" s="12">
        <v>45783</v>
      </c>
      <c r="C32" s="13">
        <v>9560352251</v>
      </c>
      <c r="D32" s="6" t="s">
        <v>53</v>
      </c>
      <c r="E32" s="6" t="s">
        <v>19</v>
      </c>
      <c r="F32" s="14" t="s">
        <v>20</v>
      </c>
      <c r="G32" s="14" t="s">
        <v>21</v>
      </c>
      <c r="H32" s="15">
        <v>0</v>
      </c>
      <c r="I32" s="15">
        <v>232.5</v>
      </c>
      <c r="J32" s="16" t="s">
        <v>18</v>
      </c>
    </row>
    <row r="33" spans="1:10" ht="15" thickBot="1" x14ac:dyDescent="0.35">
      <c r="A33" s="11">
        <v>34</v>
      </c>
      <c r="B33" s="12">
        <v>45783</v>
      </c>
      <c r="C33" s="13">
        <v>9727592537</v>
      </c>
      <c r="D33" s="6" t="s">
        <v>54</v>
      </c>
      <c r="E33" s="6" t="s">
        <v>25</v>
      </c>
      <c r="F33" s="14" t="s">
        <v>23</v>
      </c>
      <c r="G33" s="14" t="s">
        <v>24</v>
      </c>
      <c r="H33" s="15">
        <v>0</v>
      </c>
      <c r="I33" s="15">
        <v>351000</v>
      </c>
      <c r="J33" s="16" t="s">
        <v>13</v>
      </c>
    </row>
    <row r="34" spans="1:10" ht="15" thickBot="1" x14ac:dyDescent="0.35">
      <c r="A34" s="11">
        <v>35</v>
      </c>
      <c r="B34" s="12">
        <v>45783</v>
      </c>
      <c r="C34" s="13">
        <v>9316401043</v>
      </c>
      <c r="D34" s="6" t="s">
        <v>55</v>
      </c>
      <c r="E34" s="6" t="s">
        <v>15</v>
      </c>
      <c r="F34" s="14" t="s">
        <v>26</v>
      </c>
      <c r="G34" s="14" t="s">
        <v>27</v>
      </c>
      <c r="H34" s="15">
        <v>50</v>
      </c>
      <c r="I34" s="15">
        <v>12910</v>
      </c>
      <c r="J34" s="16" t="s">
        <v>33</v>
      </c>
    </row>
    <row r="35" spans="1:10" ht="15" thickBot="1" x14ac:dyDescent="0.35">
      <c r="A35" s="11">
        <v>36</v>
      </c>
      <c r="B35" s="12">
        <v>45784</v>
      </c>
      <c r="C35" s="13">
        <v>8960330044</v>
      </c>
      <c r="D35" s="6" t="s">
        <v>56</v>
      </c>
      <c r="E35" s="6" t="s">
        <v>38</v>
      </c>
      <c r="F35" s="14" t="s">
        <v>30</v>
      </c>
      <c r="G35" s="14" t="s">
        <v>31</v>
      </c>
      <c r="H35" s="15">
        <v>0</v>
      </c>
      <c r="I35" s="15">
        <v>3300</v>
      </c>
      <c r="J35" s="16" t="s">
        <v>13</v>
      </c>
    </row>
    <row r="36" spans="1:10" ht="15" thickBot="1" x14ac:dyDescent="0.35">
      <c r="A36" s="11">
        <v>37</v>
      </c>
      <c r="B36" s="12">
        <v>45784</v>
      </c>
      <c r="C36" s="13">
        <v>7420982111</v>
      </c>
      <c r="D36" s="6" t="s">
        <v>57</v>
      </c>
      <c r="E36" s="6" t="s">
        <v>25</v>
      </c>
      <c r="F36" s="14" t="s">
        <v>20</v>
      </c>
      <c r="G36" s="14" t="s">
        <v>21</v>
      </c>
      <c r="H36" s="15">
        <v>0</v>
      </c>
      <c r="I36" s="15">
        <v>1170</v>
      </c>
      <c r="J36" s="16" t="s">
        <v>28</v>
      </c>
    </row>
    <row r="37" spans="1:10" ht="15" thickBot="1" x14ac:dyDescent="0.35">
      <c r="A37" s="11">
        <v>38</v>
      </c>
      <c r="B37" s="12">
        <v>45784</v>
      </c>
      <c r="C37" s="13">
        <v>9790913147</v>
      </c>
      <c r="D37" s="6" t="s">
        <v>89</v>
      </c>
      <c r="E37" s="6" t="s">
        <v>15</v>
      </c>
      <c r="F37" s="14" t="s">
        <v>20</v>
      </c>
      <c r="G37" s="14" t="str">
        <f>G36</f>
        <v>Groceries</v>
      </c>
      <c r="H37" s="15">
        <v>0</v>
      </c>
      <c r="I37" s="15">
        <v>800</v>
      </c>
      <c r="J37" s="16" t="s">
        <v>13</v>
      </c>
    </row>
    <row r="38" spans="1:10" ht="15" thickBot="1" x14ac:dyDescent="0.35">
      <c r="A38" s="11">
        <v>39</v>
      </c>
      <c r="B38" s="12">
        <v>45784</v>
      </c>
      <c r="C38" s="13">
        <v>9739903999</v>
      </c>
      <c r="D38" s="6" t="s">
        <v>58</v>
      </c>
      <c r="E38" s="6" t="s">
        <v>19</v>
      </c>
      <c r="F38" s="14" t="s">
        <v>20</v>
      </c>
      <c r="G38" s="14" t="str">
        <f>G37</f>
        <v>Groceries</v>
      </c>
      <c r="H38" s="15">
        <v>0</v>
      </c>
      <c r="I38" s="15">
        <v>375</v>
      </c>
      <c r="J38" s="16" t="s">
        <v>33</v>
      </c>
    </row>
    <row r="39" spans="1:10" ht="15" thickBot="1" x14ac:dyDescent="0.35">
      <c r="A39" s="11">
        <v>40</v>
      </c>
      <c r="B39" s="12">
        <v>45784</v>
      </c>
      <c r="C39" s="13">
        <v>7827501075</v>
      </c>
      <c r="D39" s="6" t="s">
        <v>59</v>
      </c>
      <c r="E39" s="6" t="s">
        <v>15</v>
      </c>
      <c r="F39" s="14" t="s">
        <v>20</v>
      </c>
      <c r="G39" s="14" t="str">
        <f>G38</f>
        <v>Groceries</v>
      </c>
      <c r="H39" s="15">
        <v>0</v>
      </c>
      <c r="I39" s="15">
        <v>1610</v>
      </c>
      <c r="J39" s="16" t="s">
        <v>18</v>
      </c>
    </row>
    <row r="40" spans="1:10" ht="15" thickBot="1" x14ac:dyDescent="0.35">
      <c r="A40" s="11">
        <v>41</v>
      </c>
      <c r="B40" s="12">
        <v>45784</v>
      </c>
      <c r="C40" s="13">
        <v>7008923737</v>
      </c>
      <c r="D40" s="6" t="s">
        <v>60</v>
      </c>
      <c r="E40" s="6" t="s">
        <v>25</v>
      </c>
      <c r="F40" s="14" t="s">
        <v>20</v>
      </c>
      <c r="G40" s="14" t="str">
        <f>G39</f>
        <v>Groceries</v>
      </c>
      <c r="H40" s="15">
        <v>0</v>
      </c>
      <c r="I40" s="15">
        <v>2125</v>
      </c>
      <c r="J40" s="16" t="s">
        <v>13</v>
      </c>
    </row>
    <row r="41" spans="1:10" ht="15" thickBot="1" x14ac:dyDescent="0.35">
      <c r="A41" s="11">
        <v>42</v>
      </c>
      <c r="B41" s="12">
        <v>45785</v>
      </c>
      <c r="C41" s="13">
        <v>8668679803</v>
      </c>
      <c r="D41" s="6" t="s">
        <v>61</v>
      </c>
      <c r="E41" s="6" t="s">
        <v>15</v>
      </c>
      <c r="F41" s="14" t="s">
        <v>11</v>
      </c>
      <c r="G41" s="14" t="s">
        <v>12</v>
      </c>
      <c r="H41" s="15">
        <v>165</v>
      </c>
      <c r="I41" s="15">
        <v>7755</v>
      </c>
      <c r="J41" s="16" t="s">
        <v>33</v>
      </c>
    </row>
    <row r="42" spans="1:10" ht="15" thickBot="1" x14ac:dyDescent="0.35">
      <c r="A42" s="11">
        <v>43</v>
      </c>
      <c r="B42" s="12">
        <v>45785</v>
      </c>
      <c r="C42" s="13">
        <v>9356888577</v>
      </c>
      <c r="D42" s="6" t="s">
        <v>62</v>
      </c>
      <c r="E42" s="6" t="s">
        <v>15</v>
      </c>
      <c r="F42" s="14" t="s">
        <v>16</v>
      </c>
      <c r="G42" s="14" t="s">
        <v>17</v>
      </c>
      <c r="H42" s="15">
        <v>0</v>
      </c>
      <c r="I42" s="15">
        <v>81900</v>
      </c>
      <c r="J42" s="16" t="s">
        <v>28</v>
      </c>
    </row>
    <row r="43" spans="1:10" ht="15" thickBot="1" x14ac:dyDescent="0.35">
      <c r="A43" s="11">
        <v>46</v>
      </c>
      <c r="B43" s="12">
        <v>45786</v>
      </c>
      <c r="C43" s="13">
        <v>9805732884</v>
      </c>
      <c r="D43" s="6" t="s">
        <v>108</v>
      </c>
      <c r="E43" s="6" t="s">
        <v>15</v>
      </c>
      <c r="F43" s="14" t="s">
        <v>26</v>
      </c>
      <c r="G43" s="14" t="s">
        <v>27</v>
      </c>
      <c r="H43" s="15">
        <v>170</v>
      </c>
      <c r="I43" s="15">
        <v>37330</v>
      </c>
      <c r="J43" s="16" t="s">
        <v>18</v>
      </c>
    </row>
    <row r="44" spans="1:10" ht="15" thickBot="1" x14ac:dyDescent="0.35">
      <c r="A44" s="11">
        <v>47</v>
      </c>
      <c r="B44" s="12">
        <v>45786</v>
      </c>
      <c r="C44" s="13">
        <v>7972809267</v>
      </c>
      <c r="D44" s="6" t="s">
        <v>63</v>
      </c>
      <c r="E44" s="6" t="s">
        <v>15</v>
      </c>
      <c r="F44" s="14" t="s">
        <v>30</v>
      </c>
      <c r="G44" s="14" t="s">
        <v>31</v>
      </c>
      <c r="H44" s="15">
        <v>350</v>
      </c>
      <c r="I44" s="15">
        <v>22150</v>
      </c>
      <c r="J44" s="16" t="s">
        <v>18</v>
      </c>
    </row>
    <row r="45" spans="1:10" ht="15" thickBot="1" x14ac:dyDescent="0.35">
      <c r="A45" s="11">
        <v>49</v>
      </c>
      <c r="B45" s="12">
        <v>45787</v>
      </c>
      <c r="C45" s="13">
        <v>7008192610</v>
      </c>
      <c r="D45" s="6" t="s">
        <v>64</v>
      </c>
      <c r="E45" s="6" t="s">
        <v>15</v>
      </c>
      <c r="F45" s="14" t="s">
        <v>20</v>
      </c>
      <c r="G45" s="14" t="str">
        <f>G44</f>
        <v>Health and Beauty</v>
      </c>
      <c r="H45" s="15">
        <v>0</v>
      </c>
      <c r="I45" s="15">
        <v>1350</v>
      </c>
      <c r="J45" s="16" t="s">
        <v>28</v>
      </c>
    </row>
    <row r="46" spans="1:10" ht="15" thickBot="1" x14ac:dyDescent="0.35">
      <c r="A46" s="11">
        <v>50</v>
      </c>
      <c r="B46" s="12">
        <v>45787</v>
      </c>
      <c r="C46" s="13">
        <v>8875263155</v>
      </c>
      <c r="D46" s="6" t="s">
        <v>109</v>
      </c>
      <c r="E46" s="6" t="s">
        <v>38</v>
      </c>
      <c r="F46" s="14" t="s">
        <v>20</v>
      </c>
      <c r="G46" s="14" t="str">
        <f>G45</f>
        <v>Health and Beauty</v>
      </c>
      <c r="H46" s="15">
        <v>0</v>
      </c>
      <c r="I46" s="15">
        <v>730</v>
      </c>
      <c r="J46" s="16" t="s">
        <v>33</v>
      </c>
    </row>
    <row r="47" spans="1:10" ht="15" thickBot="1" x14ac:dyDescent="0.35">
      <c r="A47" s="11">
        <v>51</v>
      </c>
      <c r="B47" s="12">
        <v>45788</v>
      </c>
      <c r="C47" s="13">
        <v>9573575097</v>
      </c>
      <c r="D47" s="6" t="s">
        <v>71</v>
      </c>
      <c r="E47" s="6" t="s">
        <v>25</v>
      </c>
      <c r="F47" s="14" t="s">
        <v>11</v>
      </c>
      <c r="G47" s="14" t="s">
        <v>12</v>
      </c>
      <c r="H47" s="15">
        <v>50</v>
      </c>
      <c r="I47" s="15">
        <v>2200</v>
      </c>
      <c r="J47" s="16" t="s">
        <v>13</v>
      </c>
    </row>
    <row r="48" spans="1:10" ht="15" thickBot="1" x14ac:dyDescent="0.35">
      <c r="A48" s="11">
        <v>52</v>
      </c>
      <c r="B48" s="12">
        <v>45788</v>
      </c>
      <c r="C48" s="13">
        <v>9755009265</v>
      </c>
      <c r="D48" s="6" t="s">
        <v>110</v>
      </c>
      <c r="E48" s="6" t="s">
        <v>15</v>
      </c>
      <c r="F48" s="14" t="s">
        <v>16</v>
      </c>
      <c r="G48" s="14" t="s">
        <v>17</v>
      </c>
      <c r="H48" s="15">
        <v>610</v>
      </c>
      <c r="I48" s="15">
        <v>44590</v>
      </c>
      <c r="J48" s="16" t="s">
        <v>18</v>
      </c>
    </row>
    <row r="49" spans="1:10" ht="15" thickBot="1" x14ac:dyDescent="0.35">
      <c r="A49" s="11">
        <v>53</v>
      </c>
      <c r="B49" s="12">
        <v>45788</v>
      </c>
      <c r="C49" s="13">
        <v>6304506751</v>
      </c>
      <c r="D49" s="6" t="s">
        <v>69</v>
      </c>
      <c r="E49" s="6" t="s">
        <v>19</v>
      </c>
      <c r="F49" s="14" t="s">
        <v>20</v>
      </c>
      <c r="G49" s="14" t="s">
        <v>21</v>
      </c>
      <c r="H49" s="15">
        <v>0</v>
      </c>
      <c r="I49" s="15">
        <v>1512</v>
      </c>
      <c r="J49" s="16" t="s">
        <v>13</v>
      </c>
    </row>
    <row r="50" spans="1:10" ht="15" thickBot="1" x14ac:dyDescent="0.35">
      <c r="A50" s="11">
        <v>54</v>
      </c>
      <c r="B50" s="12">
        <v>45788</v>
      </c>
      <c r="C50" s="13">
        <v>9600172043</v>
      </c>
      <c r="D50" s="6" t="s">
        <v>95</v>
      </c>
      <c r="E50" s="6" t="s">
        <v>38</v>
      </c>
      <c r="F50" s="14" t="s">
        <v>23</v>
      </c>
      <c r="G50" s="14" t="s">
        <v>24</v>
      </c>
      <c r="H50" s="15">
        <v>1700</v>
      </c>
      <c r="I50" s="15">
        <v>304300</v>
      </c>
      <c r="J50" s="16" t="s">
        <v>13</v>
      </c>
    </row>
    <row r="51" spans="1:10" ht="15" thickBot="1" x14ac:dyDescent="0.35">
      <c r="A51" s="11">
        <v>55</v>
      </c>
      <c r="B51" s="12">
        <v>45789</v>
      </c>
      <c r="C51" s="13">
        <v>7720033601</v>
      </c>
      <c r="D51" s="6" t="s">
        <v>67</v>
      </c>
      <c r="E51" s="6" t="s">
        <v>25</v>
      </c>
      <c r="F51" s="14" t="s">
        <v>26</v>
      </c>
      <c r="G51" s="14" t="s">
        <v>27</v>
      </c>
      <c r="H51" s="15">
        <v>0</v>
      </c>
      <c r="I51" s="15">
        <v>45000</v>
      </c>
      <c r="J51" s="16" t="s">
        <v>28</v>
      </c>
    </row>
    <row r="52" spans="1:10" ht="15" thickBot="1" x14ac:dyDescent="0.35">
      <c r="A52" s="11">
        <v>56</v>
      </c>
      <c r="B52" s="12">
        <v>45789</v>
      </c>
      <c r="C52" s="13">
        <v>8168172718</v>
      </c>
      <c r="D52" s="6" t="s">
        <v>66</v>
      </c>
      <c r="E52" s="6" t="s">
        <v>15</v>
      </c>
      <c r="F52" s="14" t="s">
        <v>30</v>
      </c>
      <c r="G52" s="14" t="s">
        <v>31</v>
      </c>
      <c r="H52" s="15">
        <v>50</v>
      </c>
      <c r="I52" s="15">
        <v>3475</v>
      </c>
      <c r="J52" s="16" t="s">
        <v>13</v>
      </c>
    </row>
    <row r="53" spans="1:10" ht="15" thickBot="1" x14ac:dyDescent="0.35">
      <c r="A53" s="11">
        <v>57</v>
      </c>
      <c r="B53" s="12">
        <v>45789</v>
      </c>
      <c r="C53" s="13">
        <v>9716614196</v>
      </c>
      <c r="D53" s="6" t="s">
        <v>65</v>
      </c>
      <c r="E53" s="6" t="s">
        <v>19</v>
      </c>
      <c r="F53" s="14" t="s">
        <v>30</v>
      </c>
      <c r="G53" s="14" t="s">
        <v>31</v>
      </c>
      <c r="H53" s="15">
        <v>55</v>
      </c>
      <c r="I53" s="15">
        <v>10745</v>
      </c>
      <c r="J53" s="16" t="s">
        <v>33</v>
      </c>
    </row>
    <row r="54" spans="1:10" ht="15" thickBot="1" x14ac:dyDescent="0.35">
      <c r="A54" s="11">
        <v>60</v>
      </c>
      <c r="B54" s="12">
        <v>45790</v>
      </c>
      <c r="C54" s="13">
        <v>8376829930</v>
      </c>
      <c r="D54" s="6" t="s">
        <v>68</v>
      </c>
      <c r="E54" s="6" t="s">
        <v>15</v>
      </c>
      <c r="F54" s="14" t="s">
        <v>11</v>
      </c>
      <c r="G54" s="14" t="s">
        <v>12</v>
      </c>
      <c r="H54" s="15">
        <v>250</v>
      </c>
      <c r="I54" s="15">
        <v>7400</v>
      </c>
      <c r="J54" s="16" t="s">
        <v>33</v>
      </c>
    </row>
    <row r="55" spans="1:10" ht="15" thickBot="1" x14ac:dyDescent="0.35">
      <c r="A55" s="11">
        <v>62</v>
      </c>
      <c r="B55" s="12">
        <v>45790</v>
      </c>
      <c r="C55" s="13">
        <v>7977304136</v>
      </c>
      <c r="D55" s="6" t="s">
        <v>70</v>
      </c>
      <c r="E55" s="6" t="s">
        <v>38</v>
      </c>
      <c r="F55" s="14" t="s">
        <v>20</v>
      </c>
      <c r="G55" s="14" t="s">
        <v>21</v>
      </c>
      <c r="H55" s="15">
        <v>0</v>
      </c>
      <c r="I55" s="15">
        <v>3840</v>
      </c>
      <c r="J55" s="16" t="s">
        <v>13</v>
      </c>
    </row>
    <row r="56" spans="1:10" ht="15" thickBot="1" x14ac:dyDescent="0.35">
      <c r="A56" s="11">
        <v>64</v>
      </c>
      <c r="B56" s="12">
        <v>45790</v>
      </c>
      <c r="C56" s="13">
        <v>8999800601</v>
      </c>
      <c r="D56" s="6" t="s">
        <v>72</v>
      </c>
      <c r="E56" s="6" t="s">
        <v>15</v>
      </c>
      <c r="F56" s="14" t="s">
        <v>26</v>
      </c>
      <c r="G56" s="14" t="s">
        <v>27</v>
      </c>
      <c r="H56" s="15">
        <v>0</v>
      </c>
      <c r="I56" s="15">
        <v>29900</v>
      </c>
      <c r="J56" s="16" t="s">
        <v>18</v>
      </c>
    </row>
    <row r="57" spans="1:10" ht="15" thickBot="1" x14ac:dyDescent="0.35">
      <c r="A57" s="11">
        <v>65</v>
      </c>
      <c r="B57" s="12">
        <v>45790</v>
      </c>
      <c r="C57" s="13">
        <v>9836288894</v>
      </c>
      <c r="D57" s="6" t="s">
        <v>73</v>
      </c>
      <c r="E57" s="6" t="s">
        <v>19</v>
      </c>
      <c r="F57" s="14" t="s">
        <v>30</v>
      </c>
      <c r="G57" s="14" t="s">
        <v>31</v>
      </c>
      <c r="H57" s="15">
        <v>70</v>
      </c>
      <c r="I57" s="15">
        <v>8066</v>
      </c>
      <c r="J57" s="16" t="s">
        <v>33</v>
      </c>
    </row>
    <row r="58" spans="1:10" ht="15" thickBot="1" x14ac:dyDescent="0.35">
      <c r="A58" s="11">
        <v>66</v>
      </c>
      <c r="B58" s="12">
        <v>45791</v>
      </c>
      <c r="C58" s="13">
        <v>9720105683</v>
      </c>
      <c r="D58" s="6" t="s">
        <v>74</v>
      </c>
      <c r="E58" s="6" t="s">
        <v>25</v>
      </c>
      <c r="F58" s="14" t="s">
        <v>26</v>
      </c>
      <c r="G58" s="14" t="s">
        <v>27</v>
      </c>
      <c r="H58" s="15">
        <v>500</v>
      </c>
      <c r="I58" s="15">
        <v>96700</v>
      </c>
      <c r="J58" s="16" t="s">
        <v>13</v>
      </c>
    </row>
    <row r="59" spans="1:10" ht="15" thickBot="1" x14ac:dyDescent="0.35">
      <c r="A59" s="11">
        <v>68</v>
      </c>
      <c r="B59" s="12">
        <v>45791</v>
      </c>
      <c r="C59" s="13">
        <v>9646925935</v>
      </c>
      <c r="D59" s="6" t="s">
        <v>75</v>
      </c>
      <c r="E59" s="6" t="s">
        <v>19</v>
      </c>
      <c r="F59" s="14" t="s">
        <v>16</v>
      </c>
      <c r="G59" s="14" t="s">
        <v>17</v>
      </c>
      <c r="H59" s="15">
        <v>240</v>
      </c>
      <c r="I59" s="15">
        <v>31660</v>
      </c>
      <c r="J59" s="16" t="s">
        <v>18</v>
      </c>
    </row>
    <row r="60" spans="1:10" ht="15" thickBot="1" x14ac:dyDescent="0.35">
      <c r="A60" s="11">
        <v>69</v>
      </c>
      <c r="B60" s="12">
        <v>45791</v>
      </c>
      <c r="C60" s="13">
        <v>8122216996</v>
      </c>
      <c r="D60" s="6" t="s">
        <v>76</v>
      </c>
      <c r="E60" s="6" t="s">
        <v>15</v>
      </c>
      <c r="F60" s="14" t="s">
        <v>20</v>
      </c>
      <c r="G60" s="14" t="s">
        <v>21</v>
      </c>
      <c r="H60" s="15">
        <v>0</v>
      </c>
      <c r="I60" s="15">
        <v>1320</v>
      </c>
      <c r="J60" s="16" t="s">
        <v>33</v>
      </c>
    </row>
    <row r="61" spans="1:10" ht="15" thickBot="1" x14ac:dyDescent="0.35">
      <c r="A61" s="11">
        <v>71</v>
      </c>
      <c r="B61" s="12">
        <v>45791</v>
      </c>
      <c r="C61" s="13">
        <v>9812022255</v>
      </c>
      <c r="D61" s="6" t="s">
        <v>111</v>
      </c>
      <c r="E61" s="6" t="s">
        <v>38</v>
      </c>
      <c r="F61" s="14" t="s">
        <v>16</v>
      </c>
      <c r="G61" s="14" t="s">
        <v>17</v>
      </c>
      <c r="H61" s="15">
        <v>0</v>
      </c>
      <c r="I61" s="15">
        <v>93728.25</v>
      </c>
      <c r="J61" s="16" t="s">
        <v>28</v>
      </c>
    </row>
    <row r="62" spans="1:10" ht="15" thickBot="1" x14ac:dyDescent="0.35">
      <c r="A62" s="11">
        <v>72</v>
      </c>
      <c r="B62" s="12">
        <v>45791</v>
      </c>
      <c r="C62" s="13">
        <v>9919561584</v>
      </c>
      <c r="D62" s="6" t="s">
        <v>77</v>
      </c>
      <c r="E62" s="6" t="s">
        <v>15</v>
      </c>
      <c r="F62" s="14" t="s">
        <v>20</v>
      </c>
      <c r="G62" s="14" t="s">
        <v>21</v>
      </c>
      <c r="H62" s="15">
        <v>0</v>
      </c>
      <c r="I62" s="15">
        <v>2025</v>
      </c>
      <c r="J62" s="16" t="s">
        <v>33</v>
      </c>
    </row>
    <row r="63" spans="1:10" ht="15" thickBot="1" x14ac:dyDescent="0.35">
      <c r="A63" s="11">
        <v>73</v>
      </c>
      <c r="B63" s="12">
        <v>45792</v>
      </c>
      <c r="C63" s="13">
        <v>9738837224</v>
      </c>
      <c r="D63" s="6" t="s">
        <v>78</v>
      </c>
      <c r="E63" s="6" t="s">
        <v>19</v>
      </c>
      <c r="F63" s="14" t="s">
        <v>23</v>
      </c>
      <c r="G63" s="14" t="s">
        <v>24</v>
      </c>
      <c r="H63" s="15">
        <v>955</v>
      </c>
      <c r="I63" s="15">
        <v>783845</v>
      </c>
      <c r="J63" s="16" t="s">
        <v>18</v>
      </c>
    </row>
    <row r="64" spans="1:10" ht="15" thickBot="1" x14ac:dyDescent="0.35">
      <c r="A64" s="11">
        <v>74</v>
      </c>
      <c r="B64" s="12">
        <v>45792</v>
      </c>
      <c r="C64" s="13">
        <v>9365739489</v>
      </c>
      <c r="D64" s="6" t="s">
        <v>112</v>
      </c>
      <c r="E64" s="6" t="s">
        <v>25</v>
      </c>
      <c r="F64" s="14" t="s">
        <v>26</v>
      </c>
      <c r="G64" s="14" t="s">
        <v>27</v>
      </c>
      <c r="H64" s="15">
        <v>820</v>
      </c>
      <c r="I64" s="15">
        <v>329180</v>
      </c>
      <c r="J64" s="16" t="s">
        <v>13</v>
      </c>
    </row>
    <row r="65" spans="1:10" ht="15" thickBot="1" x14ac:dyDescent="0.35">
      <c r="A65" s="11">
        <v>75</v>
      </c>
      <c r="B65" s="12">
        <v>45792</v>
      </c>
      <c r="C65" s="13">
        <v>8398025016</v>
      </c>
      <c r="D65" s="6" t="s">
        <v>79</v>
      </c>
      <c r="E65" s="6" t="s">
        <v>19</v>
      </c>
      <c r="F65" s="14" t="s">
        <v>30</v>
      </c>
      <c r="G65" s="14" t="s">
        <v>31</v>
      </c>
      <c r="H65" s="15">
        <v>0</v>
      </c>
      <c r="I65" s="15">
        <v>4200</v>
      </c>
      <c r="J65" s="16" t="s">
        <v>18</v>
      </c>
    </row>
    <row r="66" spans="1:10" ht="15" thickBot="1" x14ac:dyDescent="0.35">
      <c r="A66" s="11">
        <v>76</v>
      </c>
      <c r="B66" s="12">
        <v>45792</v>
      </c>
      <c r="C66" s="13">
        <v>9899913552</v>
      </c>
      <c r="D66" s="6" t="s">
        <v>80</v>
      </c>
      <c r="E66" s="6" t="s">
        <v>15</v>
      </c>
      <c r="F66" s="14" t="s">
        <v>26</v>
      </c>
      <c r="G66" s="14" t="s">
        <v>27</v>
      </c>
      <c r="H66" s="15">
        <v>500</v>
      </c>
      <c r="I66" s="15">
        <v>32500</v>
      </c>
      <c r="J66" s="16" t="s">
        <v>18</v>
      </c>
    </row>
    <row r="67" spans="1:10" ht="15" thickBot="1" x14ac:dyDescent="0.35">
      <c r="A67" s="11">
        <v>77</v>
      </c>
      <c r="B67" s="12">
        <v>45792</v>
      </c>
      <c r="C67" s="13">
        <v>8486781192</v>
      </c>
      <c r="D67" s="6" t="s">
        <v>81</v>
      </c>
      <c r="E67" s="6" t="s">
        <v>25</v>
      </c>
      <c r="F67" s="14" t="s">
        <v>20</v>
      </c>
      <c r="G67" s="14" t="s">
        <v>21</v>
      </c>
      <c r="H67" s="15">
        <v>0</v>
      </c>
      <c r="I67" s="15">
        <v>1320</v>
      </c>
      <c r="J67" s="16" t="s">
        <v>13</v>
      </c>
    </row>
    <row r="68" spans="1:10" ht="15" thickBot="1" x14ac:dyDescent="0.35">
      <c r="A68" s="11">
        <v>79</v>
      </c>
      <c r="B68" s="12">
        <v>45792</v>
      </c>
      <c r="C68" s="13">
        <v>9871811408</v>
      </c>
      <c r="D68" s="6" t="s">
        <v>82</v>
      </c>
      <c r="E68" s="6" t="s">
        <v>38</v>
      </c>
      <c r="F68" s="14" t="s">
        <v>20</v>
      </c>
      <c r="G68" s="14" t="s">
        <v>21</v>
      </c>
      <c r="H68" s="15">
        <v>0</v>
      </c>
      <c r="I68" s="15">
        <v>625</v>
      </c>
      <c r="J68" s="16" t="s">
        <v>33</v>
      </c>
    </row>
    <row r="69" spans="1:10" ht="15" thickBot="1" x14ac:dyDescent="0.35">
      <c r="A69" s="11">
        <v>80</v>
      </c>
      <c r="B69" s="12">
        <v>45792</v>
      </c>
      <c r="C69" s="13">
        <v>8686040401</v>
      </c>
      <c r="D69" s="6" t="s">
        <v>83</v>
      </c>
      <c r="E69" s="6" t="s">
        <v>19</v>
      </c>
      <c r="F69" s="14" t="s">
        <v>26</v>
      </c>
      <c r="G69" s="14" t="s">
        <v>27</v>
      </c>
      <c r="H69" s="15">
        <v>0</v>
      </c>
      <c r="I69" s="15">
        <v>6250</v>
      </c>
      <c r="J69" s="16" t="s">
        <v>18</v>
      </c>
    </row>
    <row r="70" spans="1:10" ht="15" thickBot="1" x14ac:dyDescent="0.35">
      <c r="A70" s="11">
        <v>81</v>
      </c>
      <c r="B70" s="12">
        <v>45793</v>
      </c>
      <c r="C70" s="13">
        <v>9650459839</v>
      </c>
      <c r="D70" s="6" t="s">
        <v>84</v>
      </c>
      <c r="E70" s="6" t="s">
        <v>25</v>
      </c>
      <c r="F70" s="14" t="s">
        <v>11</v>
      </c>
      <c r="G70" s="14" t="s">
        <v>12</v>
      </c>
      <c r="H70" s="15">
        <v>110</v>
      </c>
      <c r="I70" s="15">
        <v>4580</v>
      </c>
      <c r="J70" s="16" t="s">
        <v>13</v>
      </c>
    </row>
    <row r="71" spans="1:10" ht="15" thickBot="1" x14ac:dyDescent="0.35">
      <c r="A71" s="11">
        <v>82</v>
      </c>
      <c r="B71" s="12">
        <v>45793</v>
      </c>
      <c r="C71" s="13">
        <v>9431258975</v>
      </c>
      <c r="D71" s="6" t="s">
        <v>85</v>
      </c>
      <c r="E71" s="6" t="s">
        <v>15</v>
      </c>
      <c r="F71" s="14" t="s">
        <v>26</v>
      </c>
      <c r="G71" s="14" t="s">
        <v>27</v>
      </c>
      <c r="H71" s="15">
        <v>100</v>
      </c>
      <c r="I71" s="15">
        <v>17500</v>
      </c>
      <c r="J71" s="16" t="s">
        <v>13</v>
      </c>
    </row>
    <row r="72" spans="1:10" ht="15" thickBot="1" x14ac:dyDescent="0.35">
      <c r="A72" s="11">
        <v>83</v>
      </c>
      <c r="B72" s="12">
        <v>45793</v>
      </c>
      <c r="C72" s="13">
        <v>9719004555</v>
      </c>
      <c r="D72" s="6" t="s">
        <v>86</v>
      </c>
      <c r="E72" s="6" t="s">
        <v>19</v>
      </c>
      <c r="F72" s="14" t="s">
        <v>20</v>
      </c>
      <c r="G72" s="14" t="s">
        <v>21</v>
      </c>
      <c r="H72" s="15">
        <v>0</v>
      </c>
      <c r="I72" s="15">
        <v>3720</v>
      </c>
      <c r="J72" s="16" t="s">
        <v>18</v>
      </c>
    </row>
    <row r="73" spans="1:10" ht="15" thickBot="1" x14ac:dyDescent="0.35">
      <c r="A73" s="11">
        <v>85</v>
      </c>
      <c r="B73" s="12">
        <v>45793</v>
      </c>
      <c r="C73" s="13">
        <v>8294605083</v>
      </c>
      <c r="D73" s="6" t="s">
        <v>87</v>
      </c>
      <c r="E73" s="6" t="s">
        <v>15</v>
      </c>
      <c r="F73" s="14" t="s">
        <v>26</v>
      </c>
      <c r="G73" s="14" t="s">
        <v>27</v>
      </c>
      <c r="H73" s="15">
        <v>50</v>
      </c>
      <c r="I73" s="15">
        <v>19390</v>
      </c>
      <c r="J73" s="16" t="s">
        <v>33</v>
      </c>
    </row>
    <row r="74" spans="1:10" ht="15" thickBot="1" x14ac:dyDescent="0.35">
      <c r="A74" s="11">
        <v>87</v>
      </c>
      <c r="B74" s="12">
        <v>45794</v>
      </c>
      <c r="C74" s="13">
        <v>8697974361</v>
      </c>
      <c r="D74" s="6" t="s">
        <v>88</v>
      </c>
      <c r="E74" s="6" t="s">
        <v>25</v>
      </c>
      <c r="F74" s="14" t="s">
        <v>20</v>
      </c>
      <c r="G74" s="14" t="s">
        <v>21</v>
      </c>
      <c r="H74" s="15">
        <v>0</v>
      </c>
      <c r="I74" s="15">
        <v>2340</v>
      </c>
      <c r="J74" s="16" t="s">
        <v>28</v>
      </c>
    </row>
    <row r="75" spans="1:10" ht="15" thickBot="1" x14ac:dyDescent="0.35">
      <c r="A75" s="11">
        <v>89</v>
      </c>
      <c r="B75" s="12">
        <v>45794</v>
      </c>
      <c r="C75" s="13">
        <v>9695592778</v>
      </c>
      <c r="D75" s="6" t="s">
        <v>90</v>
      </c>
      <c r="E75" s="6" t="s">
        <v>19</v>
      </c>
      <c r="F75" s="14" t="s">
        <v>20</v>
      </c>
      <c r="G75" s="14" t="s">
        <v>21</v>
      </c>
      <c r="H75" s="15">
        <v>0</v>
      </c>
      <c r="I75" s="15">
        <v>625</v>
      </c>
      <c r="J75" s="16" t="s">
        <v>33</v>
      </c>
    </row>
    <row r="76" spans="1:10" ht="15" thickBot="1" x14ac:dyDescent="0.35">
      <c r="A76" s="11">
        <v>90</v>
      </c>
      <c r="B76" s="12">
        <v>45794</v>
      </c>
      <c r="C76" s="13">
        <v>9662330825</v>
      </c>
      <c r="D76" s="6" t="s">
        <v>91</v>
      </c>
      <c r="E76" s="6" t="s">
        <v>15</v>
      </c>
      <c r="F76" s="14" t="s">
        <v>20</v>
      </c>
      <c r="G76" s="14" t="s">
        <v>21</v>
      </c>
      <c r="H76" s="15">
        <v>0</v>
      </c>
      <c r="I76" s="15">
        <v>2760</v>
      </c>
      <c r="J76" s="16" t="s">
        <v>18</v>
      </c>
    </row>
    <row r="77" spans="1:10" ht="15" thickBot="1" x14ac:dyDescent="0.35">
      <c r="A77" s="11">
        <v>91</v>
      </c>
      <c r="B77" s="12">
        <v>45794</v>
      </c>
      <c r="C77" s="13">
        <v>8527092496</v>
      </c>
      <c r="D77" s="6" t="s">
        <v>92</v>
      </c>
      <c r="E77" s="6" t="s">
        <v>25</v>
      </c>
      <c r="F77" s="14" t="s">
        <v>20</v>
      </c>
      <c r="G77" s="14" t="s">
        <v>21</v>
      </c>
      <c r="H77" s="15">
        <v>0</v>
      </c>
      <c r="I77" s="15">
        <v>3485</v>
      </c>
      <c r="J77" s="16" t="s">
        <v>13</v>
      </c>
    </row>
    <row r="78" spans="1:10" ht="15" thickBot="1" x14ac:dyDescent="0.35">
      <c r="A78" s="11">
        <v>92</v>
      </c>
      <c r="B78" s="12">
        <v>45795</v>
      </c>
      <c r="C78" s="13">
        <v>1296612228</v>
      </c>
      <c r="D78" s="6" t="s">
        <v>93</v>
      </c>
      <c r="E78" s="6" t="s">
        <v>15</v>
      </c>
      <c r="F78" s="14" t="s">
        <v>11</v>
      </c>
      <c r="G78" s="14" t="s">
        <v>12</v>
      </c>
      <c r="H78" s="15">
        <v>105</v>
      </c>
      <c r="I78" s="15">
        <v>16615</v>
      </c>
      <c r="J78" s="16" t="s">
        <v>33</v>
      </c>
    </row>
    <row r="79" spans="1:10" ht="15" thickBot="1" x14ac:dyDescent="0.35">
      <c r="A79" s="11">
        <v>93</v>
      </c>
      <c r="B79" s="12">
        <v>45795</v>
      </c>
      <c r="C79" s="13">
        <v>9999174353</v>
      </c>
      <c r="D79" s="6" t="s">
        <v>94</v>
      </c>
      <c r="E79" s="6" t="s">
        <v>15</v>
      </c>
      <c r="F79" s="14" t="s">
        <v>16</v>
      </c>
      <c r="G79" s="14" t="s">
        <v>17</v>
      </c>
      <c r="H79" s="15">
        <v>0</v>
      </c>
      <c r="I79" s="15">
        <v>140400</v>
      </c>
      <c r="J79" s="16" t="s">
        <v>28</v>
      </c>
    </row>
    <row r="80" spans="1:10" ht="15" thickBot="1" x14ac:dyDescent="0.35">
      <c r="A80" s="11">
        <v>95</v>
      </c>
      <c r="B80" s="12">
        <v>45796</v>
      </c>
      <c r="C80" s="13">
        <v>9771216648</v>
      </c>
      <c r="D80" s="6" t="s">
        <v>96</v>
      </c>
      <c r="E80" s="6" t="s">
        <v>25</v>
      </c>
      <c r="F80" s="14" t="s">
        <v>23</v>
      </c>
      <c r="G80" s="14" t="s">
        <v>24</v>
      </c>
      <c r="H80" s="15">
        <v>0</v>
      </c>
      <c r="I80" s="15">
        <v>58000</v>
      </c>
      <c r="J80" s="16" t="s">
        <v>13</v>
      </c>
    </row>
    <row r="81" spans="1:10" ht="15" thickBot="1" x14ac:dyDescent="0.35">
      <c r="A81" s="11">
        <v>96</v>
      </c>
      <c r="B81" s="12">
        <v>45796</v>
      </c>
      <c r="C81" s="13">
        <v>9764767792</v>
      </c>
      <c r="D81" s="6" t="s">
        <v>97</v>
      </c>
      <c r="E81" s="6" t="s">
        <v>15</v>
      </c>
      <c r="F81" s="14" t="s">
        <v>26</v>
      </c>
      <c r="G81" s="14" t="s">
        <v>27</v>
      </c>
      <c r="H81" s="15">
        <v>120</v>
      </c>
      <c r="I81" s="15">
        <v>89880</v>
      </c>
      <c r="J81" s="16" t="s">
        <v>18</v>
      </c>
    </row>
    <row r="82" spans="1:10" ht="15" thickBot="1" x14ac:dyDescent="0.35">
      <c r="A82" s="11">
        <v>97</v>
      </c>
      <c r="B82" s="12">
        <v>45796</v>
      </c>
      <c r="C82" s="13">
        <v>9592537685</v>
      </c>
      <c r="D82" s="6" t="s">
        <v>98</v>
      </c>
      <c r="E82" s="6" t="s">
        <v>15</v>
      </c>
      <c r="F82" s="14" t="s">
        <v>30</v>
      </c>
      <c r="G82" s="14" t="s">
        <v>31</v>
      </c>
      <c r="H82" s="15">
        <v>450</v>
      </c>
      <c r="I82" s="15">
        <v>44550</v>
      </c>
      <c r="J82" s="16" t="s">
        <v>18</v>
      </c>
    </row>
    <row r="83" spans="1:10" ht="15" thickBot="1" x14ac:dyDescent="0.35">
      <c r="A83" s="11">
        <v>99</v>
      </c>
      <c r="B83" s="12">
        <v>45797</v>
      </c>
      <c r="C83" s="13">
        <v>8160576284</v>
      </c>
      <c r="D83" s="6" t="s">
        <v>99</v>
      </c>
      <c r="E83" s="6" t="s">
        <v>15</v>
      </c>
      <c r="F83" s="14" t="s">
        <v>20</v>
      </c>
      <c r="G83" s="14" t="s">
        <v>21</v>
      </c>
      <c r="H83" s="15">
        <v>0</v>
      </c>
      <c r="I83" s="15">
        <v>2700</v>
      </c>
      <c r="J83" s="16" t="s">
        <v>28</v>
      </c>
    </row>
    <row r="84" spans="1:10" x14ac:dyDescent="0.3">
      <c r="A84" s="11">
        <v>100</v>
      </c>
      <c r="B84" s="12">
        <v>45797</v>
      </c>
      <c r="C84" s="13">
        <v>8896342056</v>
      </c>
      <c r="D84" s="6" t="s">
        <v>100</v>
      </c>
      <c r="E84" s="6" t="s">
        <v>38</v>
      </c>
      <c r="F84" s="14" t="s">
        <v>20</v>
      </c>
      <c r="G84" s="14" t="s">
        <v>21</v>
      </c>
      <c r="H84" s="15">
        <v>0</v>
      </c>
      <c r="I84" s="15">
        <v>2190</v>
      </c>
      <c r="J84" s="16"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8977-14BE-4959-B812-549BE87B28B9}">
  <dimension ref="A1:K65"/>
  <sheetViews>
    <sheetView zoomScale="103" workbookViewId="0">
      <selection activeCell="Q18" sqref="Q18"/>
    </sheetView>
  </sheetViews>
  <sheetFormatPr defaultRowHeight="14.4" x14ac:dyDescent="0.3"/>
  <cols>
    <col min="1" max="1" width="12" bestFit="1" customWidth="1"/>
    <col min="2" max="2" width="23.77734375" bestFit="1" customWidth="1"/>
    <col min="3" max="3" width="9" bestFit="1" customWidth="1"/>
    <col min="4" max="4" width="7.88671875" bestFit="1" customWidth="1"/>
    <col min="5" max="5" width="13.77734375" bestFit="1" customWidth="1"/>
    <col min="6" max="6" width="14.33203125" bestFit="1" customWidth="1"/>
    <col min="7" max="7" width="15.88671875" bestFit="1" customWidth="1"/>
    <col min="8" max="8" width="18.109375" bestFit="1" customWidth="1"/>
    <col min="9" max="9" width="17.44140625" bestFit="1" customWidth="1"/>
    <col min="10" max="11" width="12.77734375" bestFit="1" customWidth="1"/>
  </cols>
  <sheetData>
    <row r="1" spans="1:11" ht="15" thickBot="1" x14ac:dyDescent="0.35">
      <c r="A1" s="24" t="s">
        <v>2</v>
      </c>
      <c r="B1" s="24" t="s">
        <v>3</v>
      </c>
      <c r="C1" s="24" t="s">
        <v>121</v>
      </c>
      <c r="D1" s="24" t="s">
        <v>4</v>
      </c>
      <c r="E1" s="25" t="s">
        <v>130</v>
      </c>
      <c r="F1" s="25" t="s">
        <v>122</v>
      </c>
      <c r="G1" s="25" t="s">
        <v>123</v>
      </c>
      <c r="H1" s="25" t="s">
        <v>124</v>
      </c>
      <c r="I1" s="25" t="s">
        <v>125</v>
      </c>
      <c r="J1" s="24" t="s">
        <v>126</v>
      </c>
      <c r="K1" s="24" t="s">
        <v>127</v>
      </c>
    </row>
    <row r="2" spans="1:11" ht="15" thickBot="1" x14ac:dyDescent="0.35">
      <c r="A2" s="26">
        <v>9738837224</v>
      </c>
      <c r="B2" s="27" t="s">
        <v>78</v>
      </c>
      <c r="C2" s="27" t="s">
        <v>18</v>
      </c>
      <c r="D2" s="28" t="s">
        <v>19</v>
      </c>
      <c r="E2" s="29">
        <v>783845</v>
      </c>
      <c r="F2" s="29">
        <v>37770</v>
      </c>
      <c r="G2" s="9">
        <v>36840</v>
      </c>
      <c r="H2" s="9">
        <v>35550</v>
      </c>
      <c r="I2" s="30">
        <v>34980</v>
      </c>
      <c r="J2" s="29">
        <v>928985</v>
      </c>
      <c r="K2" s="30">
        <v>185797</v>
      </c>
    </row>
    <row r="3" spans="1:11" ht="15" thickBot="1" x14ac:dyDescent="0.35">
      <c r="A3" s="31">
        <v>9650459839</v>
      </c>
      <c r="B3" s="32" t="s">
        <v>84</v>
      </c>
      <c r="C3" s="32" t="s">
        <v>13</v>
      </c>
      <c r="D3" s="33" t="s">
        <v>25</v>
      </c>
      <c r="E3" s="34">
        <v>4580</v>
      </c>
      <c r="F3" s="34">
        <v>18720</v>
      </c>
      <c r="G3" s="15">
        <v>17960</v>
      </c>
      <c r="H3" s="15">
        <v>16450</v>
      </c>
      <c r="I3" s="35">
        <v>13540</v>
      </c>
      <c r="J3" s="29">
        <v>71250</v>
      </c>
      <c r="K3" s="30">
        <v>14250</v>
      </c>
    </row>
    <row r="4" spans="1:11" ht="15" thickBot="1" x14ac:dyDescent="0.35">
      <c r="A4" s="31">
        <v>9536592304</v>
      </c>
      <c r="B4" s="32" t="s">
        <v>42</v>
      </c>
      <c r="C4" s="32" t="s">
        <v>13</v>
      </c>
      <c r="D4" s="33" t="s">
        <v>15</v>
      </c>
      <c r="E4" s="34">
        <v>651650</v>
      </c>
      <c r="F4" s="34">
        <v>13200</v>
      </c>
      <c r="G4" s="15">
        <v>12400</v>
      </c>
      <c r="H4" s="15">
        <v>10800</v>
      </c>
      <c r="I4" s="35">
        <v>11890</v>
      </c>
      <c r="J4" s="29">
        <v>699940</v>
      </c>
      <c r="K4" s="30">
        <v>139988</v>
      </c>
    </row>
    <row r="5" spans="1:11" ht="15" thickBot="1" x14ac:dyDescent="0.35">
      <c r="A5" s="31">
        <v>9958569893</v>
      </c>
      <c r="B5" s="32" t="s">
        <v>34</v>
      </c>
      <c r="C5" s="32" t="s">
        <v>13</v>
      </c>
      <c r="D5" s="33" t="s">
        <v>15</v>
      </c>
      <c r="E5" s="34">
        <v>875</v>
      </c>
      <c r="F5" s="34">
        <v>14650</v>
      </c>
      <c r="G5" s="15">
        <v>13650</v>
      </c>
      <c r="H5" s="15">
        <v>18000</v>
      </c>
      <c r="I5" s="35">
        <v>16540</v>
      </c>
      <c r="J5" s="29">
        <v>63715</v>
      </c>
      <c r="K5" s="30">
        <v>12743</v>
      </c>
    </row>
    <row r="6" spans="1:11" ht="15" thickBot="1" x14ac:dyDescent="0.35">
      <c r="A6" s="31">
        <v>9727592537</v>
      </c>
      <c r="B6" s="32" t="s">
        <v>54</v>
      </c>
      <c r="C6" s="32" t="s">
        <v>13</v>
      </c>
      <c r="D6" s="33" t="s">
        <v>25</v>
      </c>
      <c r="E6" s="34">
        <v>351000</v>
      </c>
      <c r="F6" s="34">
        <v>16500</v>
      </c>
      <c r="G6" s="15">
        <v>18400</v>
      </c>
      <c r="H6" s="15">
        <v>16400</v>
      </c>
      <c r="I6" s="35">
        <v>17400</v>
      </c>
      <c r="J6" s="29">
        <v>419700</v>
      </c>
      <c r="K6" s="30">
        <v>83940</v>
      </c>
    </row>
    <row r="7" spans="1:11" ht="15" thickBot="1" x14ac:dyDescent="0.35">
      <c r="A7" s="31">
        <v>9365739489</v>
      </c>
      <c r="B7" s="32" t="s">
        <v>128</v>
      </c>
      <c r="C7" s="32" t="s">
        <v>13</v>
      </c>
      <c r="D7" s="33" t="s">
        <v>25</v>
      </c>
      <c r="E7" s="34">
        <v>329180</v>
      </c>
      <c r="F7" s="34">
        <v>18450</v>
      </c>
      <c r="G7" s="15">
        <v>19540</v>
      </c>
      <c r="H7" s="15">
        <v>17450</v>
      </c>
      <c r="I7" s="35">
        <v>13540</v>
      </c>
      <c r="J7" s="29">
        <v>398160</v>
      </c>
      <c r="K7" s="30">
        <v>79632</v>
      </c>
    </row>
    <row r="8" spans="1:11" ht="15" thickBot="1" x14ac:dyDescent="0.35">
      <c r="A8" s="31">
        <v>8886851113</v>
      </c>
      <c r="B8" s="32" t="s">
        <v>106</v>
      </c>
      <c r="C8" s="32" t="s">
        <v>18</v>
      </c>
      <c r="D8" s="33" t="s">
        <v>19</v>
      </c>
      <c r="E8" s="34">
        <v>239335</v>
      </c>
      <c r="F8" s="34">
        <v>37890</v>
      </c>
      <c r="G8" s="15">
        <v>38450</v>
      </c>
      <c r="H8" s="15">
        <v>36500</v>
      </c>
      <c r="I8" s="35">
        <v>38790</v>
      </c>
      <c r="J8" s="29">
        <v>390965</v>
      </c>
      <c r="K8" s="30">
        <v>78193</v>
      </c>
    </row>
    <row r="9" spans="1:11" ht="15" thickBot="1" x14ac:dyDescent="0.35">
      <c r="A9" s="31">
        <v>9600172043</v>
      </c>
      <c r="B9" s="32" t="s">
        <v>95</v>
      </c>
      <c r="C9" s="32" t="s">
        <v>13</v>
      </c>
      <c r="D9" s="33" t="s">
        <v>38</v>
      </c>
      <c r="E9" s="34">
        <v>304300</v>
      </c>
      <c r="F9" s="34">
        <v>12760</v>
      </c>
      <c r="G9" s="15">
        <v>14560</v>
      </c>
      <c r="H9" s="15">
        <v>13870</v>
      </c>
      <c r="I9" s="35">
        <v>14650</v>
      </c>
      <c r="J9" s="29">
        <v>360140</v>
      </c>
      <c r="K9" s="30">
        <v>72028</v>
      </c>
    </row>
    <row r="10" spans="1:11" ht="15" thickBot="1" x14ac:dyDescent="0.35">
      <c r="A10" s="31">
        <v>9764767792</v>
      </c>
      <c r="B10" s="32" t="s">
        <v>97</v>
      </c>
      <c r="C10" s="32" t="s">
        <v>18</v>
      </c>
      <c r="D10" s="33" t="s">
        <v>15</v>
      </c>
      <c r="E10" s="34">
        <v>89880</v>
      </c>
      <c r="F10" s="34">
        <v>52450</v>
      </c>
      <c r="G10" s="15">
        <v>59620</v>
      </c>
      <c r="H10" s="15">
        <v>53450</v>
      </c>
      <c r="I10" s="35">
        <v>54680</v>
      </c>
      <c r="J10" s="29">
        <v>310080</v>
      </c>
      <c r="K10" s="30">
        <v>62016</v>
      </c>
    </row>
    <row r="11" spans="1:11" ht="15" thickBot="1" x14ac:dyDescent="0.35">
      <c r="A11" s="31">
        <v>9573575097</v>
      </c>
      <c r="B11" s="32" t="s">
        <v>71</v>
      </c>
      <c r="C11" s="32" t="s">
        <v>13</v>
      </c>
      <c r="D11" s="33" t="s">
        <v>25</v>
      </c>
      <c r="E11" s="34">
        <v>2200</v>
      </c>
      <c r="F11" s="34">
        <v>18720</v>
      </c>
      <c r="G11" s="15">
        <v>17680</v>
      </c>
      <c r="H11" s="15">
        <v>16980</v>
      </c>
      <c r="I11" s="35">
        <v>18790</v>
      </c>
      <c r="J11" s="29">
        <v>74370</v>
      </c>
      <c r="K11" s="30">
        <v>14874</v>
      </c>
    </row>
    <row r="12" spans="1:11" ht="15" thickBot="1" x14ac:dyDescent="0.35">
      <c r="A12" s="31">
        <v>9791160051</v>
      </c>
      <c r="B12" s="32" t="s">
        <v>48</v>
      </c>
      <c r="C12" s="32" t="s">
        <v>18</v>
      </c>
      <c r="D12" s="33" t="s">
        <v>15</v>
      </c>
      <c r="E12" s="34">
        <v>24450</v>
      </c>
      <c r="F12" s="34">
        <v>62500</v>
      </c>
      <c r="G12" s="15">
        <v>59210</v>
      </c>
      <c r="H12" s="15">
        <v>58320</v>
      </c>
      <c r="I12" s="35">
        <v>57460</v>
      </c>
      <c r="J12" s="29">
        <v>261940</v>
      </c>
      <c r="K12" s="30">
        <v>52388</v>
      </c>
    </row>
    <row r="13" spans="1:11" ht="15" thickBot="1" x14ac:dyDescent="0.35">
      <c r="A13" s="31">
        <v>9719004555</v>
      </c>
      <c r="B13" s="32" t="s">
        <v>86</v>
      </c>
      <c r="C13" s="32" t="s">
        <v>18</v>
      </c>
      <c r="D13" s="33" t="s">
        <v>19</v>
      </c>
      <c r="E13" s="34">
        <v>3720</v>
      </c>
      <c r="F13" s="34">
        <v>68940</v>
      </c>
      <c r="G13" s="15">
        <v>58640</v>
      </c>
      <c r="H13" s="15">
        <v>57360</v>
      </c>
      <c r="I13" s="35">
        <v>59110</v>
      </c>
      <c r="J13" s="29">
        <v>247770</v>
      </c>
      <c r="K13" s="30">
        <v>49554</v>
      </c>
    </row>
    <row r="14" spans="1:11" ht="15" thickBot="1" x14ac:dyDescent="0.35">
      <c r="A14" s="31">
        <v>9051678541</v>
      </c>
      <c r="B14" s="32" t="s">
        <v>45</v>
      </c>
      <c r="C14" s="32" t="s">
        <v>13</v>
      </c>
      <c r="D14" s="33" t="s">
        <v>25</v>
      </c>
      <c r="E14" s="34">
        <v>4075</v>
      </c>
      <c r="F14" s="34">
        <v>15600</v>
      </c>
      <c r="G14" s="15">
        <v>14300</v>
      </c>
      <c r="H14" s="15">
        <v>18400</v>
      </c>
      <c r="I14" s="35">
        <v>16100</v>
      </c>
      <c r="J14" s="29">
        <v>68475</v>
      </c>
      <c r="K14" s="30">
        <v>13695</v>
      </c>
    </row>
    <row r="15" spans="1:11" ht="15" thickBot="1" x14ac:dyDescent="0.35">
      <c r="A15" s="31">
        <v>8981753938</v>
      </c>
      <c r="B15" s="32" t="s">
        <v>50</v>
      </c>
      <c r="C15" s="32" t="s">
        <v>13</v>
      </c>
      <c r="D15" s="33" t="s">
        <v>15</v>
      </c>
      <c r="E15" s="34">
        <v>94500</v>
      </c>
      <c r="F15" s="34">
        <v>9860</v>
      </c>
      <c r="G15" s="15">
        <v>8950</v>
      </c>
      <c r="H15" s="15">
        <v>7900</v>
      </c>
      <c r="I15" s="35">
        <v>9950</v>
      </c>
      <c r="J15" s="29">
        <v>131160</v>
      </c>
      <c r="K15" s="30">
        <v>26232</v>
      </c>
    </row>
    <row r="16" spans="1:11" ht="15" thickBot="1" x14ac:dyDescent="0.35">
      <c r="A16" s="31">
        <v>7760345546</v>
      </c>
      <c r="B16" s="32" t="s">
        <v>52</v>
      </c>
      <c r="C16" s="32" t="s">
        <v>18</v>
      </c>
      <c r="D16" s="33" t="s">
        <v>19</v>
      </c>
      <c r="E16" s="34">
        <v>3750</v>
      </c>
      <c r="F16" s="34">
        <v>59640</v>
      </c>
      <c r="G16" s="15">
        <v>58230</v>
      </c>
      <c r="H16" s="15">
        <v>51240</v>
      </c>
      <c r="I16" s="35">
        <v>53450</v>
      </c>
      <c r="J16" s="29">
        <v>226310</v>
      </c>
      <c r="K16" s="30">
        <v>45262</v>
      </c>
    </row>
    <row r="17" spans="1:11" ht="15" thickBot="1" x14ac:dyDescent="0.35">
      <c r="A17" s="31">
        <v>9646925935</v>
      </c>
      <c r="B17" s="32" t="s">
        <v>75</v>
      </c>
      <c r="C17" s="32" t="s">
        <v>18</v>
      </c>
      <c r="D17" s="33" t="s">
        <v>19</v>
      </c>
      <c r="E17" s="34">
        <v>31660</v>
      </c>
      <c r="F17" s="34">
        <v>41890</v>
      </c>
      <c r="G17" s="15">
        <v>45780</v>
      </c>
      <c r="H17" s="15">
        <v>46890</v>
      </c>
      <c r="I17" s="35">
        <v>49850</v>
      </c>
      <c r="J17" s="29">
        <v>216070</v>
      </c>
      <c r="K17" s="30">
        <v>43214</v>
      </c>
    </row>
    <row r="18" spans="1:11" ht="15" thickBot="1" x14ac:dyDescent="0.35">
      <c r="A18" s="31">
        <v>9805732884</v>
      </c>
      <c r="B18" s="32" t="s">
        <v>108</v>
      </c>
      <c r="C18" s="32" t="s">
        <v>18</v>
      </c>
      <c r="D18" s="33" t="s">
        <v>15</v>
      </c>
      <c r="E18" s="34">
        <v>37330</v>
      </c>
      <c r="F18" s="34">
        <v>50200</v>
      </c>
      <c r="G18" s="15">
        <v>45700</v>
      </c>
      <c r="H18" s="15">
        <v>39800</v>
      </c>
      <c r="I18" s="35">
        <v>36900</v>
      </c>
      <c r="J18" s="29">
        <v>209930</v>
      </c>
      <c r="K18" s="30">
        <v>41986</v>
      </c>
    </row>
    <row r="19" spans="1:11" ht="15" thickBot="1" x14ac:dyDescent="0.35">
      <c r="A19" s="31">
        <v>9662330825</v>
      </c>
      <c r="B19" s="32" t="s">
        <v>91</v>
      </c>
      <c r="C19" s="32" t="s">
        <v>18</v>
      </c>
      <c r="D19" s="33" t="s">
        <v>15</v>
      </c>
      <c r="E19" s="34">
        <v>2760</v>
      </c>
      <c r="F19" s="34">
        <v>36200</v>
      </c>
      <c r="G19" s="15">
        <v>29860</v>
      </c>
      <c r="H19" s="15">
        <v>98770</v>
      </c>
      <c r="I19" s="35">
        <v>36780</v>
      </c>
      <c r="J19" s="29">
        <v>204370</v>
      </c>
      <c r="K19" s="30">
        <v>40874</v>
      </c>
    </row>
    <row r="20" spans="1:11" ht="15" thickBot="1" x14ac:dyDescent="0.35">
      <c r="A20" s="31">
        <v>9755009265</v>
      </c>
      <c r="B20" s="32" t="s">
        <v>110</v>
      </c>
      <c r="C20" s="32" t="s">
        <v>18</v>
      </c>
      <c r="D20" s="33" t="s">
        <v>15</v>
      </c>
      <c r="E20" s="34">
        <v>44590</v>
      </c>
      <c r="F20" s="34">
        <v>39870</v>
      </c>
      <c r="G20" s="15">
        <v>38650</v>
      </c>
      <c r="H20" s="15">
        <v>39560</v>
      </c>
      <c r="I20" s="35">
        <v>36210</v>
      </c>
      <c r="J20" s="29">
        <v>198880</v>
      </c>
      <c r="K20" s="30">
        <v>39776</v>
      </c>
    </row>
    <row r="21" spans="1:11" ht="15" thickBot="1" x14ac:dyDescent="0.35">
      <c r="A21" s="31">
        <v>9953655717</v>
      </c>
      <c r="B21" s="32" t="s">
        <v>14</v>
      </c>
      <c r="C21" s="32" t="s">
        <v>18</v>
      </c>
      <c r="D21" s="33" t="s">
        <v>15</v>
      </c>
      <c r="E21" s="34">
        <v>22270</v>
      </c>
      <c r="F21" s="34">
        <v>42650</v>
      </c>
      <c r="G21" s="15">
        <v>41550</v>
      </c>
      <c r="H21" s="15">
        <v>40050</v>
      </c>
      <c r="I21" s="35">
        <v>46790</v>
      </c>
      <c r="J21" s="29">
        <v>193310</v>
      </c>
      <c r="K21" s="30">
        <v>38662</v>
      </c>
    </row>
    <row r="22" spans="1:11" ht="15" thickBot="1" x14ac:dyDescent="0.35">
      <c r="A22" s="31">
        <v>9140310269</v>
      </c>
      <c r="B22" s="32" t="s">
        <v>43</v>
      </c>
      <c r="C22" s="32" t="s">
        <v>18</v>
      </c>
      <c r="D22" s="33" t="s">
        <v>19</v>
      </c>
      <c r="E22" s="34">
        <v>14260</v>
      </c>
      <c r="F22" s="34">
        <v>45820</v>
      </c>
      <c r="G22" s="15">
        <v>43650</v>
      </c>
      <c r="H22" s="15">
        <v>42780</v>
      </c>
      <c r="I22" s="35">
        <v>41850</v>
      </c>
      <c r="J22" s="29">
        <v>188360</v>
      </c>
      <c r="K22" s="30">
        <v>37672</v>
      </c>
    </row>
    <row r="23" spans="1:11" ht="15" thickBot="1" x14ac:dyDescent="0.35">
      <c r="A23" s="31">
        <v>9899913552</v>
      </c>
      <c r="B23" s="32" t="s">
        <v>80</v>
      </c>
      <c r="C23" s="32" t="s">
        <v>18</v>
      </c>
      <c r="D23" s="33" t="s">
        <v>15</v>
      </c>
      <c r="E23" s="34">
        <v>32500</v>
      </c>
      <c r="F23" s="34">
        <v>39950</v>
      </c>
      <c r="G23" s="15">
        <v>38650</v>
      </c>
      <c r="H23" s="15">
        <v>37650</v>
      </c>
      <c r="I23" s="35">
        <v>36660</v>
      </c>
      <c r="J23" s="29">
        <v>185410</v>
      </c>
      <c r="K23" s="30">
        <v>37082</v>
      </c>
    </row>
    <row r="24" spans="1:11" ht="15" thickBot="1" x14ac:dyDescent="0.35">
      <c r="A24" s="31">
        <v>9592537685</v>
      </c>
      <c r="B24" s="32" t="s">
        <v>98</v>
      </c>
      <c r="C24" s="32" t="s">
        <v>18</v>
      </c>
      <c r="D24" s="33" t="s">
        <v>15</v>
      </c>
      <c r="E24" s="34">
        <v>44550</v>
      </c>
      <c r="F24" s="34">
        <v>29870</v>
      </c>
      <c r="G24" s="15">
        <v>31890</v>
      </c>
      <c r="H24" s="15">
        <v>36450</v>
      </c>
      <c r="I24" s="35">
        <v>39260</v>
      </c>
      <c r="J24" s="29">
        <v>182020</v>
      </c>
      <c r="K24" s="30">
        <v>36404</v>
      </c>
    </row>
    <row r="25" spans="1:11" ht="15" thickBot="1" x14ac:dyDescent="0.35">
      <c r="A25" s="31">
        <v>8999800601</v>
      </c>
      <c r="B25" s="32" t="s">
        <v>72</v>
      </c>
      <c r="C25" s="32" t="s">
        <v>18</v>
      </c>
      <c r="D25" s="33" t="s">
        <v>15</v>
      </c>
      <c r="E25" s="34">
        <v>29900</v>
      </c>
      <c r="F25" s="34">
        <v>36580</v>
      </c>
      <c r="G25" s="15">
        <v>37890</v>
      </c>
      <c r="H25" s="15">
        <v>39780</v>
      </c>
      <c r="I25" s="35">
        <v>37700</v>
      </c>
      <c r="J25" s="29">
        <v>181850</v>
      </c>
      <c r="K25" s="30">
        <v>36370</v>
      </c>
    </row>
    <row r="26" spans="1:11" ht="15" thickBot="1" x14ac:dyDescent="0.35">
      <c r="A26" s="31">
        <v>9990476099</v>
      </c>
      <c r="B26" s="32" t="s">
        <v>40</v>
      </c>
      <c r="C26" s="32" t="s">
        <v>18</v>
      </c>
      <c r="D26" s="33" t="s">
        <v>15</v>
      </c>
      <c r="E26" s="34">
        <v>24600</v>
      </c>
      <c r="F26" s="34">
        <v>42300</v>
      </c>
      <c r="G26" s="15">
        <v>39000</v>
      </c>
      <c r="H26" s="15">
        <v>34560</v>
      </c>
      <c r="I26" s="35">
        <v>38710</v>
      </c>
      <c r="J26" s="29">
        <v>179170</v>
      </c>
      <c r="K26" s="30">
        <v>35834</v>
      </c>
    </row>
    <row r="27" spans="1:11" ht="15" thickBot="1" x14ac:dyDescent="0.35">
      <c r="A27" s="31">
        <v>7428290126</v>
      </c>
      <c r="B27" s="32" t="s">
        <v>47</v>
      </c>
      <c r="C27" s="32" t="s">
        <v>18</v>
      </c>
      <c r="D27" s="33" t="s">
        <v>19</v>
      </c>
      <c r="E27" s="34">
        <v>2100</v>
      </c>
      <c r="F27" s="34">
        <v>39850</v>
      </c>
      <c r="G27" s="15">
        <v>42560</v>
      </c>
      <c r="H27" s="15">
        <v>43450</v>
      </c>
      <c r="I27" s="35">
        <v>49860</v>
      </c>
      <c r="J27" s="29">
        <v>177820</v>
      </c>
      <c r="K27" s="30">
        <v>35564</v>
      </c>
    </row>
    <row r="28" spans="1:11" ht="15" thickBot="1" x14ac:dyDescent="0.35">
      <c r="A28" s="31">
        <v>8398025016</v>
      </c>
      <c r="B28" s="32" t="s">
        <v>79</v>
      </c>
      <c r="C28" s="32" t="s">
        <v>18</v>
      </c>
      <c r="D28" s="33" t="s">
        <v>19</v>
      </c>
      <c r="E28" s="34">
        <v>4200</v>
      </c>
      <c r="F28" s="34">
        <v>42650</v>
      </c>
      <c r="G28" s="15">
        <v>40050</v>
      </c>
      <c r="H28" s="15">
        <v>43890</v>
      </c>
      <c r="I28" s="35">
        <v>43300</v>
      </c>
      <c r="J28" s="29">
        <v>174090</v>
      </c>
      <c r="K28" s="30">
        <v>34818</v>
      </c>
    </row>
    <row r="29" spans="1:11" ht="15" thickBot="1" x14ac:dyDescent="0.35">
      <c r="A29" s="31">
        <v>8686040401</v>
      </c>
      <c r="B29" s="32" t="s">
        <v>83</v>
      </c>
      <c r="C29" s="32" t="s">
        <v>18</v>
      </c>
      <c r="D29" s="33" t="s">
        <v>19</v>
      </c>
      <c r="E29" s="34">
        <v>6250</v>
      </c>
      <c r="F29" s="34">
        <v>51020</v>
      </c>
      <c r="G29" s="15">
        <v>48900</v>
      </c>
      <c r="H29" s="15">
        <v>35640</v>
      </c>
      <c r="I29" s="35">
        <v>30540</v>
      </c>
      <c r="J29" s="29">
        <v>172350</v>
      </c>
      <c r="K29" s="30">
        <v>34470</v>
      </c>
    </row>
    <row r="30" spans="1:11" ht="15" thickBot="1" x14ac:dyDescent="0.35">
      <c r="A30" s="31">
        <v>9999174353</v>
      </c>
      <c r="B30" s="32" t="s">
        <v>94</v>
      </c>
      <c r="C30" s="32" t="s">
        <v>28</v>
      </c>
      <c r="D30" s="33" t="s">
        <v>15</v>
      </c>
      <c r="E30" s="34">
        <v>140400</v>
      </c>
      <c r="F30" s="34">
        <v>6500</v>
      </c>
      <c r="G30" s="15">
        <v>7800</v>
      </c>
      <c r="H30" s="15">
        <v>6900</v>
      </c>
      <c r="I30" s="35">
        <v>7700</v>
      </c>
      <c r="J30" s="29">
        <v>169300</v>
      </c>
      <c r="K30" s="30">
        <v>33860</v>
      </c>
    </row>
    <row r="31" spans="1:11" ht="15" thickBot="1" x14ac:dyDescent="0.35">
      <c r="A31" s="31">
        <v>9720105683</v>
      </c>
      <c r="B31" s="32" t="s">
        <v>74</v>
      </c>
      <c r="C31" s="32" t="s">
        <v>13</v>
      </c>
      <c r="D31" s="33" t="s">
        <v>25</v>
      </c>
      <c r="E31" s="34">
        <v>96700</v>
      </c>
      <c r="F31" s="34">
        <v>18790</v>
      </c>
      <c r="G31" s="15">
        <v>13540</v>
      </c>
      <c r="H31" s="15">
        <v>14590</v>
      </c>
      <c r="I31" s="35">
        <v>15460</v>
      </c>
      <c r="J31" s="29">
        <v>159080</v>
      </c>
      <c r="K31" s="30">
        <v>31816</v>
      </c>
    </row>
    <row r="32" spans="1:11" ht="15" thickBot="1" x14ac:dyDescent="0.35">
      <c r="A32" s="31">
        <v>8655912093</v>
      </c>
      <c r="B32" s="32" t="s">
        <v>39</v>
      </c>
      <c r="C32" s="32" t="s">
        <v>13</v>
      </c>
      <c r="D32" s="33" t="s">
        <v>25</v>
      </c>
      <c r="E32" s="34">
        <v>65775</v>
      </c>
      <c r="F32" s="34">
        <v>15490</v>
      </c>
      <c r="G32" s="15">
        <v>17840</v>
      </c>
      <c r="H32" s="15">
        <v>13450</v>
      </c>
      <c r="I32" s="35">
        <v>12460</v>
      </c>
      <c r="J32" s="29">
        <v>125015</v>
      </c>
      <c r="K32" s="30">
        <v>25003</v>
      </c>
    </row>
    <row r="33" spans="1:11" ht="15" thickBot="1" x14ac:dyDescent="0.35">
      <c r="A33" s="31">
        <v>9422331154</v>
      </c>
      <c r="B33" s="32" t="s">
        <v>22</v>
      </c>
      <c r="C33" s="32" t="s">
        <v>13</v>
      </c>
      <c r="D33" s="33" t="s">
        <v>38</v>
      </c>
      <c r="E33" s="34">
        <v>100300</v>
      </c>
      <c r="F33" s="34">
        <v>12890</v>
      </c>
      <c r="G33" s="15">
        <v>13840</v>
      </c>
      <c r="H33" s="15">
        <v>19500</v>
      </c>
      <c r="I33" s="35">
        <v>14200</v>
      </c>
      <c r="J33" s="29">
        <v>160730</v>
      </c>
      <c r="K33" s="30">
        <v>32146</v>
      </c>
    </row>
    <row r="34" spans="1:11" ht="15" thickBot="1" x14ac:dyDescent="0.35">
      <c r="A34" s="31">
        <v>9560352251</v>
      </c>
      <c r="B34" s="32" t="s">
        <v>53</v>
      </c>
      <c r="C34" s="32" t="s">
        <v>18</v>
      </c>
      <c r="D34" s="33" t="s">
        <v>19</v>
      </c>
      <c r="E34" s="34">
        <v>232.5</v>
      </c>
      <c r="F34" s="34">
        <v>39500</v>
      </c>
      <c r="G34" s="15">
        <v>37900</v>
      </c>
      <c r="H34" s="15">
        <v>39900</v>
      </c>
      <c r="I34" s="35">
        <v>37850</v>
      </c>
      <c r="J34" s="29">
        <v>155382.5</v>
      </c>
      <c r="K34" s="30">
        <v>31076.5</v>
      </c>
    </row>
    <row r="35" spans="1:11" ht="15" thickBot="1" x14ac:dyDescent="0.35">
      <c r="A35" s="31">
        <v>7827501075</v>
      </c>
      <c r="B35" s="32" t="s">
        <v>59</v>
      </c>
      <c r="C35" s="32" t="s">
        <v>18</v>
      </c>
      <c r="D35" s="33" t="s">
        <v>15</v>
      </c>
      <c r="E35" s="34">
        <v>1610</v>
      </c>
      <c r="F35" s="34">
        <v>42100</v>
      </c>
      <c r="G35" s="15">
        <v>38900</v>
      </c>
      <c r="H35" s="15">
        <v>35460</v>
      </c>
      <c r="I35" s="35">
        <v>29850</v>
      </c>
      <c r="J35" s="29">
        <v>147920</v>
      </c>
      <c r="K35" s="30">
        <v>29584</v>
      </c>
    </row>
    <row r="36" spans="1:11" ht="15" thickBot="1" x14ac:dyDescent="0.35">
      <c r="A36" s="31">
        <v>7972809267</v>
      </c>
      <c r="B36" s="32" t="s">
        <v>63</v>
      </c>
      <c r="C36" s="32" t="s">
        <v>18</v>
      </c>
      <c r="D36" s="33" t="s">
        <v>15</v>
      </c>
      <c r="E36" s="34">
        <v>22150</v>
      </c>
      <c r="F36" s="34">
        <v>22480</v>
      </c>
      <c r="G36" s="15">
        <v>25790</v>
      </c>
      <c r="H36" s="15">
        <v>30549</v>
      </c>
      <c r="I36" s="35">
        <v>35790</v>
      </c>
      <c r="J36" s="29">
        <v>136759</v>
      </c>
      <c r="K36" s="30">
        <v>27351.8</v>
      </c>
    </row>
    <row r="37" spans="1:11" ht="15" thickBot="1" x14ac:dyDescent="0.35">
      <c r="A37" s="31">
        <v>9771216648</v>
      </c>
      <c r="B37" s="32" t="s">
        <v>96</v>
      </c>
      <c r="C37" s="32" t="s">
        <v>13</v>
      </c>
      <c r="D37" s="33" t="s">
        <v>25</v>
      </c>
      <c r="E37" s="34">
        <v>58000</v>
      </c>
      <c r="F37" s="34">
        <v>20500</v>
      </c>
      <c r="G37" s="15">
        <v>16500</v>
      </c>
      <c r="H37" s="15">
        <v>17800</v>
      </c>
      <c r="I37" s="35">
        <v>19500</v>
      </c>
      <c r="J37" s="29">
        <v>132300</v>
      </c>
      <c r="K37" s="30">
        <v>26460</v>
      </c>
    </row>
    <row r="38" spans="1:11" ht="15" thickBot="1" x14ac:dyDescent="0.35">
      <c r="A38" s="31">
        <v>9812022255</v>
      </c>
      <c r="B38" s="32" t="s">
        <v>129</v>
      </c>
      <c r="C38" s="32" t="s">
        <v>28</v>
      </c>
      <c r="D38" s="33" t="s">
        <v>38</v>
      </c>
      <c r="E38" s="34">
        <v>93728.25</v>
      </c>
      <c r="F38" s="34">
        <v>9500</v>
      </c>
      <c r="G38" s="15">
        <v>8700</v>
      </c>
      <c r="H38" s="15">
        <v>9500</v>
      </c>
      <c r="I38" s="35">
        <v>8700</v>
      </c>
      <c r="J38" s="29">
        <v>130128.25</v>
      </c>
      <c r="K38" s="30">
        <v>26025.65</v>
      </c>
    </row>
    <row r="39" spans="1:11" ht="15" thickBot="1" x14ac:dyDescent="0.35">
      <c r="A39" s="31">
        <v>9836330073</v>
      </c>
      <c r="B39" s="32" t="s">
        <v>41</v>
      </c>
      <c r="C39" s="32" t="s">
        <v>13</v>
      </c>
      <c r="D39" s="33" t="s">
        <v>25</v>
      </c>
      <c r="E39" s="34">
        <v>67000</v>
      </c>
      <c r="F39" s="34">
        <v>12460</v>
      </c>
      <c r="G39" s="15">
        <v>13870</v>
      </c>
      <c r="H39" s="15">
        <v>14650</v>
      </c>
      <c r="I39" s="35">
        <v>17750</v>
      </c>
      <c r="J39" s="29">
        <v>125730</v>
      </c>
      <c r="K39" s="30">
        <v>25146</v>
      </c>
    </row>
    <row r="40" spans="1:11" ht="15" thickBot="1" x14ac:dyDescent="0.35">
      <c r="A40" s="31">
        <v>9356888577</v>
      </c>
      <c r="B40" s="32" t="s">
        <v>62</v>
      </c>
      <c r="C40" s="32" t="s">
        <v>28</v>
      </c>
      <c r="D40" s="33" t="s">
        <v>15</v>
      </c>
      <c r="E40" s="34">
        <v>81900</v>
      </c>
      <c r="F40" s="34">
        <v>9900</v>
      </c>
      <c r="G40" s="15">
        <v>9650</v>
      </c>
      <c r="H40" s="15">
        <v>6900</v>
      </c>
      <c r="I40" s="35">
        <v>8800</v>
      </c>
      <c r="J40" s="29">
        <v>117150</v>
      </c>
      <c r="K40" s="30">
        <v>23430</v>
      </c>
    </row>
    <row r="41" spans="1:11" ht="15" thickBot="1" x14ac:dyDescent="0.35">
      <c r="A41" s="31">
        <v>7720033601</v>
      </c>
      <c r="B41" s="32" t="s">
        <v>67</v>
      </c>
      <c r="C41" s="32" t="s">
        <v>28</v>
      </c>
      <c r="D41" s="33" t="s">
        <v>25</v>
      </c>
      <c r="E41" s="34">
        <v>45000</v>
      </c>
      <c r="F41" s="34">
        <v>12300</v>
      </c>
      <c r="G41" s="15">
        <v>11500</v>
      </c>
      <c r="H41" s="15">
        <v>16400</v>
      </c>
      <c r="I41" s="35">
        <v>17200</v>
      </c>
      <c r="J41" s="29">
        <v>102400</v>
      </c>
      <c r="K41" s="30">
        <v>20480</v>
      </c>
    </row>
    <row r="42" spans="1:11" ht="15" thickBot="1" x14ac:dyDescent="0.35">
      <c r="A42" s="31">
        <v>9729990031</v>
      </c>
      <c r="B42" s="32" t="s">
        <v>105</v>
      </c>
      <c r="C42" s="32" t="s">
        <v>28</v>
      </c>
      <c r="D42" s="33" t="s">
        <v>38</v>
      </c>
      <c r="E42" s="34">
        <v>36735</v>
      </c>
      <c r="F42" s="34">
        <v>21100</v>
      </c>
      <c r="G42" s="15">
        <v>12500</v>
      </c>
      <c r="H42" s="15">
        <v>11600</v>
      </c>
      <c r="I42" s="35">
        <v>13450</v>
      </c>
      <c r="J42" s="29">
        <v>95385</v>
      </c>
      <c r="K42" s="30">
        <v>19077</v>
      </c>
    </row>
    <row r="43" spans="1:11" ht="15" thickBot="1" x14ac:dyDescent="0.35">
      <c r="A43" s="31">
        <v>7501087524</v>
      </c>
      <c r="B43" s="32" t="s">
        <v>37</v>
      </c>
      <c r="C43" s="32" t="s">
        <v>13</v>
      </c>
      <c r="D43" s="33" t="s">
        <v>19</v>
      </c>
      <c r="E43" s="34">
        <v>3475</v>
      </c>
      <c r="F43" s="34">
        <v>23400</v>
      </c>
      <c r="G43" s="15">
        <v>20010</v>
      </c>
      <c r="H43" s="15">
        <v>19500</v>
      </c>
      <c r="I43" s="35">
        <v>18040</v>
      </c>
      <c r="J43" s="29">
        <v>84425</v>
      </c>
      <c r="K43" s="30">
        <v>16885</v>
      </c>
    </row>
    <row r="44" spans="1:11" ht="15" thickBot="1" x14ac:dyDescent="0.35">
      <c r="A44" s="31">
        <v>6304506751</v>
      </c>
      <c r="B44" s="32" t="s">
        <v>69</v>
      </c>
      <c r="C44" s="32" t="s">
        <v>13</v>
      </c>
      <c r="D44" s="33" t="s">
        <v>19</v>
      </c>
      <c r="E44" s="34">
        <v>1512</v>
      </c>
      <c r="F44" s="34">
        <v>18560</v>
      </c>
      <c r="G44" s="15">
        <v>15640</v>
      </c>
      <c r="H44" s="15">
        <v>16890</v>
      </c>
      <c r="I44" s="35">
        <v>17950</v>
      </c>
      <c r="J44" s="29">
        <v>70552</v>
      </c>
      <c r="K44" s="30">
        <v>14110.4</v>
      </c>
    </row>
    <row r="45" spans="1:11" ht="15" thickBot="1" x14ac:dyDescent="0.35">
      <c r="A45" s="31">
        <v>7980456893</v>
      </c>
      <c r="B45" s="32" t="s">
        <v>107</v>
      </c>
      <c r="C45" s="32" t="s">
        <v>13</v>
      </c>
      <c r="D45" s="33" t="s">
        <v>15</v>
      </c>
      <c r="E45" s="34">
        <v>8800</v>
      </c>
      <c r="F45" s="34">
        <v>19720</v>
      </c>
      <c r="G45" s="15">
        <v>14680</v>
      </c>
      <c r="H45" s="15">
        <v>13560</v>
      </c>
      <c r="I45" s="35">
        <v>18740</v>
      </c>
      <c r="J45" s="29">
        <v>75500</v>
      </c>
      <c r="K45" s="30">
        <v>15100</v>
      </c>
    </row>
    <row r="46" spans="1:11" ht="15" thickBot="1" x14ac:dyDescent="0.35">
      <c r="A46" s="31">
        <v>8527092496</v>
      </c>
      <c r="B46" s="32" t="s">
        <v>92</v>
      </c>
      <c r="C46" s="32" t="s">
        <v>13</v>
      </c>
      <c r="D46" s="33" t="s">
        <v>25</v>
      </c>
      <c r="E46" s="34">
        <v>3485</v>
      </c>
      <c r="F46" s="34">
        <v>16580</v>
      </c>
      <c r="G46" s="15">
        <v>17420</v>
      </c>
      <c r="H46" s="15">
        <v>17580</v>
      </c>
      <c r="I46" s="35">
        <v>19200</v>
      </c>
      <c r="J46" s="29">
        <v>74265</v>
      </c>
      <c r="K46" s="30">
        <v>14853</v>
      </c>
    </row>
    <row r="47" spans="1:11" ht="15" thickBot="1" x14ac:dyDescent="0.35">
      <c r="A47" s="31">
        <v>8960330044</v>
      </c>
      <c r="B47" s="32" t="s">
        <v>56</v>
      </c>
      <c r="C47" s="32" t="s">
        <v>13</v>
      </c>
      <c r="D47" s="33" t="s">
        <v>38</v>
      </c>
      <c r="E47" s="34">
        <v>3300</v>
      </c>
      <c r="F47" s="34">
        <v>14870</v>
      </c>
      <c r="G47" s="15">
        <v>14980</v>
      </c>
      <c r="H47" s="15">
        <v>17840</v>
      </c>
      <c r="I47" s="35">
        <v>16590</v>
      </c>
      <c r="J47" s="29">
        <v>67580</v>
      </c>
      <c r="K47" s="30">
        <v>13516</v>
      </c>
    </row>
    <row r="48" spans="1:11" ht="15" thickBot="1" x14ac:dyDescent="0.35">
      <c r="A48" s="31">
        <v>8168172718</v>
      </c>
      <c r="B48" s="32" t="s">
        <v>66</v>
      </c>
      <c r="C48" s="32" t="s">
        <v>13</v>
      </c>
      <c r="D48" s="33" t="s">
        <v>15</v>
      </c>
      <c r="E48" s="34">
        <v>3475</v>
      </c>
      <c r="F48" s="34">
        <v>18720</v>
      </c>
      <c r="G48" s="15">
        <v>16870</v>
      </c>
      <c r="H48" s="15">
        <v>15550</v>
      </c>
      <c r="I48" s="35">
        <v>13250</v>
      </c>
      <c r="J48" s="29">
        <v>67865</v>
      </c>
      <c r="K48" s="30">
        <v>13573</v>
      </c>
    </row>
    <row r="49" spans="1:11" ht="15" thickBot="1" x14ac:dyDescent="0.35">
      <c r="A49" s="31">
        <v>8697974361</v>
      </c>
      <c r="B49" s="32" t="s">
        <v>88</v>
      </c>
      <c r="C49" s="32" t="s">
        <v>28</v>
      </c>
      <c r="D49" s="33" t="s">
        <v>25</v>
      </c>
      <c r="E49" s="34">
        <v>2340</v>
      </c>
      <c r="F49" s="34">
        <v>19100</v>
      </c>
      <c r="G49" s="15">
        <v>17500</v>
      </c>
      <c r="H49" s="15">
        <v>16300</v>
      </c>
      <c r="I49" s="35">
        <v>14635</v>
      </c>
      <c r="J49" s="29">
        <v>69875</v>
      </c>
      <c r="K49" s="30">
        <v>13975</v>
      </c>
    </row>
    <row r="50" spans="1:11" ht="15" thickBot="1" x14ac:dyDescent="0.35">
      <c r="A50" s="31">
        <v>7008923737</v>
      </c>
      <c r="B50" s="32" t="s">
        <v>60</v>
      </c>
      <c r="C50" s="32" t="s">
        <v>13</v>
      </c>
      <c r="D50" s="33" t="s">
        <v>25</v>
      </c>
      <c r="E50" s="34">
        <v>2125</v>
      </c>
      <c r="F50" s="34">
        <v>16800</v>
      </c>
      <c r="G50" s="15">
        <v>18700</v>
      </c>
      <c r="H50" s="15">
        <v>17100</v>
      </c>
      <c r="I50" s="35">
        <v>13200</v>
      </c>
      <c r="J50" s="29">
        <v>67925</v>
      </c>
      <c r="K50" s="30">
        <v>13585</v>
      </c>
    </row>
    <row r="51" spans="1:11" ht="15" thickBot="1" x14ac:dyDescent="0.35">
      <c r="A51" s="31">
        <v>9968373411</v>
      </c>
      <c r="B51" s="32" t="s">
        <v>35</v>
      </c>
      <c r="C51" s="32" t="s">
        <v>28</v>
      </c>
      <c r="D51" s="33" t="s">
        <v>25</v>
      </c>
      <c r="E51" s="34">
        <v>7000</v>
      </c>
      <c r="F51" s="34">
        <v>15000</v>
      </c>
      <c r="G51" s="15">
        <v>13000</v>
      </c>
      <c r="H51" s="15">
        <v>14800</v>
      </c>
      <c r="I51" s="35">
        <v>18400</v>
      </c>
      <c r="J51" s="29">
        <v>68200</v>
      </c>
      <c r="K51" s="30">
        <v>13640</v>
      </c>
    </row>
    <row r="52" spans="1:11" ht="15" thickBot="1" x14ac:dyDescent="0.35">
      <c r="A52" s="31">
        <v>7977304136</v>
      </c>
      <c r="B52" s="32" t="s">
        <v>70</v>
      </c>
      <c r="C52" s="32" t="s">
        <v>13</v>
      </c>
      <c r="D52" s="33" t="s">
        <v>38</v>
      </c>
      <c r="E52" s="34">
        <v>3840</v>
      </c>
      <c r="F52" s="34">
        <v>18450</v>
      </c>
      <c r="G52" s="15">
        <v>17640</v>
      </c>
      <c r="H52" s="15">
        <v>14680</v>
      </c>
      <c r="I52" s="35">
        <v>13460</v>
      </c>
      <c r="J52" s="29">
        <v>68070</v>
      </c>
      <c r="K52" s="30">
        <v>13614</v>
      </c>
    </row>
    <row r="53" spans="1:11" ht="15" thickBot="1" x14ac:dyDescent="0.35">
      <c r="A53" s="31">
        <v>8486781192</v>
      </c>
      <c r="B53" s="32" t="s">
        <v>81</v>
      </c>
      <c r="C53" s="32" t="s">
        <v>13</v>
      </c>
      <c r="D53" s="33" t="s">
        <v>25</v>
      </c>
      <c r="E53" s="34">
        <v>1320</v>
      </c>
      <c r="F53" s="34">
        <v>16540</v>
      </c>
      <c r="G53" s="15">
        <v>18730</v>
      </c>
      <c r="H53" s="15">
        <v>17770</v>
      </c>
      <c r="I53" s="35">
        <v>13540</v>
      </c>
      <c r="J53" s="29">
        <v>67900</v>
      </c>
      <c r="K53" s="30">
        <v>13580</v>
      </c>
    </row>
    <row r="54" spans="1:11" ht="15" thickBot="1" x14ac:dyDescent="0.35">
      <c r="A54" s="31">
        <v>9790913147</v>
      </c>
      <c r="B54" s="32" t="s">
        <v>89</v>
      </c>
      <c r="C54" s="32" t="s">
        <v>13</v>
      </c>
      <c r="D54" s="33" t="s">
        <v>15</v>
      </c>
      <c r="E54" s="34">
        <v>800</v>
      </c>
      <c r="F54" s="34">
        <v>18700</v>
      </c>
      <c r="G54" s="15">
        <v>14530</v>
      </c>
      <c r="H54" s="15">
        <v>17840</v>
      </c>
      <c r="I54" s="35">
        <v>13680</v>
      </c>
      <c r="J54" s="29">
        <v>65550</v>
      </c>
      <c r="K54" s="30">
        <v>13110</v>
      </c>
    </row>
    <row r="55" spans="1:11" ht="15" thickBot="1" x14ac:dyDescent="0.35">
      <c r="A55" s="31">
        <v>9920313736</v>
      </c>
      <c r="B55" s="32" t="s">
        <v>101</v>
      </c>
      <c r="C55" s="32" t="s">
        <v>13</v>
      </c>
      <c r="D55" s="33" t="s">
        <v>19</v>
      </c>
      <c r="E55" s="34">
        <v>630</v>
      </c>
      <c r="F55" s="34">
        <v>12350</v>
      </c>
      <c r="G55" s="15">
        <v>16540</v>
      </c>
      <c r="H55" s="15">
        <v>19850</v>
      </c>
      <c r="I55" s="35">
        <v>17350</v>
      </c>
      <c r="J55" s="29">
        <v>66720</v>
      </c>
      <c r="K55" s="30">
        <v>13344</v>
      </c>
    </row>
    <row r="56" spans="1:11" ht="15" thickBot="1" x14ac:dyDescent="0.35">
      <c r="A56" s="31">
        <v>8053100106</v>
      </c>
      <c r="B56" s="32" t="s">
        <v>102</v>
      </c>
      <c r="C56" s="32" t="s">
        <v>28</v>
      </c>
      <c r="D56" s="33" t="s">
        <v>25</v>
      </c>
      <c r="E56" s="34">
        <v>22500</v>
      </c>
      <c r="F56" s="34">
        <v>9900</v>
      </c>
      <c r="G56" s="15">
        <v>7960</v>
      </c>
      <c r="H56" s="15">
        <v>11300</v>
      </c>
      <c r="I56" s="35">
        <v>13500</v>
      </c>
      <c r="J56" s="29">
        <v>65160</v>
      </c>
      <c r="K56" s="30">
        <v>13032</v>
      </c>
    </row>
    <row r="57" spans="1:11" ht="15" thickBot="1" x14ac:dyDescent="0.35">
      <c r="A57" s="31">
        <v>8160576284</v>
      </c>
      <c r="B57" s="32" t="s">
        <v>99</v>
      </c>
      <c r="C57" s="32" t="s">
        <v>28</v>
      </c>
      <c r="D57" s="33" t="s">
        <v>15</v>
      </c>
      <c r="E57" s="34">
        <v>2700</v>
      </c>
      <c r="F57" s="34">
        <v>15500</v>
      </c>
      <c r="G57" s="15">
        <v>14200</v>
      </c>
      <c r="H57" s="15">
        <v>13300</v>
      </c>
      <c r="I57" s="35">
        <v>16525</v>
      </c>
      <c r="J57" s="29">
        <v>62225</v>
      </c>
      <c r="K57" s="30">
        <v>12445</v>
      </c>
    </row>
    <row r="58" spans="1:11" ht="15" thickBot="1" x14ac:dyDescent="0.35">
      <c r="A58" s="31">
        <v>8860663473</v>
      </c>
      <c r="B58" s="32" t="s">
        <v>29</v>
      </c>
      <c r="C58" s="32" t="s">
        <v>13</v>
      </c>
      <c r="D58" s="33" t="s">
        <v>15</v>
      </c>
      <c r="E58" s="34">
        <v>1125</v>
      </c>
      <c r="F58" s="34">
        <v>16800</v>
      </c>
      <c r="G58" s="15">
        <v>15700</v>
      </c>
      <c r="H58" s="15">
        <v>14650</v>
      </c>
      <c r="I58" s="35">
        <v>13450</v>
      </c>
      <c r="J58" s="29">
        <v>61725</v>
      </c>
      <c r="K58" s="30">
        <v>12345</v>
      </c>
    </row>
    <row r="59" spans="1:11" ht="15" thickBot="1" x14ac:dyDescent="0.35">
      <c r="A59" s="31">
        <v>7008192610</v>
      </c>
      <c r="B59" s="32" t="s">
        <v>64</v>
      </c>
      <c r="C59" s="32" t="s">
        <v>28</v>
      </c>
      <c r="D59" s="33" t="s">
        <v>15</v>
      </c>
      <c r="E59" s="34">
        <v>1350</v>
      </c>
      <c r="F59" s="34">
        <v>11400</v>
      </c>
      <c r="G59" s="15">
        <v>13800</v>
      </c>
      <c r="H59" s="15">
        <v>17600</v>
      </c>
      <c r="I59" s="35">
        <v>16400</v>
      </c>
      <c r="J59" s="29">
        <v>60550</v>
      </c>
      <c r="K59" s="30">
        <v>12110</v>
      </c>
    </row>
    <row r="60" spans="1:11" ht="15" thickBot="1" x14ac:dyDescent="0.35">
      <c r="A60" s="31">
        <v>8697562169</v>
      </c>
      <c r="B60" s="32" t="s">
        <v>49</v>
      </c>
      <c r="C60" s="32" t="s">
        <v>13</v>
      </c>
      <c r="D60" s="33" t="s">
        <v>25</v>
      </c>
      <c r="E60" s="34">
        <v>550</v>
      </c>
      <c r="F60" s="34">
        <v>11150</v>
      </c>
      <c r="G60" s="15">
        <v>14560</v>
      </c>
      <c r="H60" s="15">
        <v>13870</v>
      </c>
      <c r="I60" s="35">
        <v>12460</v>
      </c>
      <c r="J60" s="29">
        <v>52590</v>
      </c>
      <c r="K60" s="30">
        <v>10518</v>
      </c>
    </row>
    <row r="61" spans="1:11" ht="15" thickBot="1" x14ac:dyDescent="0.35">
      <c r="A61" s="31">
        <v>9431258975</v>
      </c>
      <c r="B61" s="32" t="s">
        <v>85</v>
      </c>
      <c r="C61" s="32" t="s">
        <v>13</v>
      </c>
      <c r="D61" s="33" t="s">
        <v>15</v>
      </c>
      <c r="E61" s="34">
        <v>17500</v>
      </c>
      <c r="F61" s="34">
        <v>8790</v>
      </c>
      <c r="G61" s="15">
        <v>8450</v>
      </c>
      <c r="H61" s="15">
        <v>7650</v>
      </c>
      <c r="I61" s="35">
        <v>9990</v>
      </c>
      <c r="J61" s="29">
        <v>52380</v>
      </c>
      <c r="K61" s="30">
        <v>10476</v>
      </c>
    </row>
    <row r="62" spans="1:11" ht="15" thickBot="1" x14ac:dyDescent="0.35">
      <c r="A62" s="31">
        <v>7973328491</v>
      </c>
      <c r="B62" s="32" t="s">
        <v>103</v>
      </c>
      <c r="C62" s="32" t="s">
        <v>13</v>
      </c>
      <c r="D62" s="33" t="s">
        <v>38</v>
      </c>
      <c r="E62" s="34">
        <v>1760</v>
      </c>
      <c r="F62" s="34">
        <v>11200</v>
      </c>
      <c r="G62" s="15">
        <v>6580</v>
      </c>
      <c r="H62" s="15">
        <v>16580</v>
      </c>
      <c r="I62" s="35">
        <v>14500</v>
      </c>
      <c r="J62" s="29">
        <v>50620</v>
      </c>
      <c r="K62" s="30">
        <v>10124</v>
      </c>
    </row>
    <row r="63" spans="1:11" ht="15" thickBot="1" x14ac:dyDescent="0.35">
      <c r="A63" s="31">
        <v>7420982111</v>
      </c>
      <c r="B63" s="32" t="s">
        <v>57</v>
      </c>
      <c r="C63" s="32" t="s">
        <v>28</v>
      </c>
      <c r="D63" s="33" t="s">
        <v>25</v>
      </c>
      <c r="E63" s="34">
        <v>1170</v>
      </c>
      <c r="F63" s="34">
        <v>8800</v>
      </c>
      <c r="G63" s="15">
        <v>9900</v>
      </c>
      <c r="H63" s="15">
        <v>7500</v>
      </c>
      <c r="I63" s="35">
        <v>10200</v>
      </c>
      <c r="J63" s="29">
        <v>37570</v>
      </c>
      <c r="K63" s="30">
        <v>7514</v>
      </c>
    </row>
    <row r="64" spans="1:11" ht="15" thickBot="1" x14ac:dyDescent="0.35">
      <c r="A64" s="36">
        <v>8506861171</v>
      </c>
      <c r="B64" s="37" t="s">
        <v>10</v>
      </c>
      <c r="C64" s="37" t="s">
        <v>13</v>
      </c>
      <c r="D64" s="38" t="s">
        <v>25</v>
      </c>
      <c r="E64" s="39">
        <v>850</v>
      </c>
      <c r="F64" s="39">
        <v>9850</v>
      </c>
      <c r="G64" s="17">
        <v>7850</v>
      </c>
      <c r="H64" s="17">
        <v>7890</v>
      </c>
      <c r="I64" s="40">
        <v>9980</v>
      </c>
      <c r="J64" s="29">
        <v>36420</v>
      </c>
      <c r="K64" s="30">
        <v>7284</v>
      </c>
    </row>
    <row r="65" spans="10:11" x14ac:dyDescent="0.3">
      <c r="J65" s="29"/>
      <c r="K65"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2539C-E073-45F3-A124-1433E4664BAB}">
  <dimension ref="A3:R24"/>
  <sheetViews>
    <sheetView showGridLines="0" zoomScale="82" workbookViewId="0">
      <selection activeCell="G19" sqref="G19"/>
    </sheetView>
  </sheetViews>
  <sheetFormatPr defaultRowHeight="14.4" x14ac:dyDescent="0.3"/>
  <cols>
    <col min="1" max="1" width="10.6640625" bestFit="1" customWidth="1"/>
    <col min="2" max="2" width="13.109375" bestFit="1" customWidth="1"/>
    <col min="3" max="3" width="12.5546875" customWidth="1"/>
    <col min="4" max="4" width="19.109375" bestFit="1" customWidth="1"/>
    <col min="5" max="5" width="13.109375" bestFit="1" customWidth="1"/>
    <col min="6" max="6" width="13.77734375" customWidth="1"/>
    <col min="7" max="7" width="24.6640625" bestFit="1" customWidth="1"/>
    <col min="8" max="8" width="13.109375" bestFit="1" customWidth="1"/>
    <col min="10" max="10" width="10.6640625" bestFit="1" customWidth="1"/>
    <col min="11" max="11" width="13.109375" bestFit="1" customWidth="1"/>
    <col min="13" max="13" width="13.21875" bestFit="1" customWidth="1"/>
    <col min="14" max="14" width="16.77734375" customWidth="1"/>
    <col min="16" max="16" width="8.88671875" customWidth="1"/>
    <col min="17" max="17" width="13.88671875" customWidth="1"/>
    <col min="18" max="18" width="8.88671875" customWidth="1"/>
  </cols>
  <sheetData>
    <row r="3" spans="1:18" x14ac:dyDescent="0.3">
      <c r="A3" s="18" t="s">
        <v>118</v>
      </c>
      <c r="B3" t="s">
        <v>116</v>
      </c>
      <c r="D3" s="18" t="s">
        <v>117</v>
      </c>
      <c r="E3" t="s">
        <v>116</v>
      </c>
      <c r="G3" s="18" t="s">
        <v>115</v>
      </c>
      <c r="H3" t="s">
        <v>116</v>
      </c>
      <c r="J3" s="18" t="s">
        <v>119</v>
      </c>
      <c r="K3" t="s">
        <v>116</v>
      </c>
      <c r="M3" s="18" t="s">
        <v>118</v>
      </c>
      <c r="N3" t="s">
        <v>114</v>
      </c>
      <c r="P3" s="21" t="s">
        <v>118</v>
      </c>
      <c r="Q3" s="21" t="s">
        <v>8</v>
      </c>
      <c r="R3" s="21" t="s">
        <v>120</v>
      </c>
    </row>
    <row r="4" spans="1:18" x14ac:dyDescent="0.3">
      <c r="A4" s="19" t="s">
        <v>38</v>
      </c>
      <c r="B4" s="20">
        <v>547633.25</v>
      </c>
      <c r="C4" s="20"/>
      <c r="D4" s="19" t="s">
        <v>12</v>
      </c>
      <c r="E4" s="20">
        <v>45850</v>
      </c>
      <c r="G4" s="19" t="s">
        <v>28</v>
      </c>
      <c r="H4" s="20">
        <v>434823.25</v>
      </c>
      <c r="J4" s="42">
        <v>45778</v>
      </c>
      <c r="K4" s="20">
        <v>146550</v>
      </c>
      <c r="M4" s="19" t="s">
        <v>38</v>
      </c>
      <c r="N4" s="20">
        <v>547633.25</v>
      </c>
      <c r="P4" s="19" t="s">
        <v>38</v>
      </c>
      <c r="Q4" s="20">
        <v>547633.25</v>
      </c>
      <c r="R4" s="23">
        <f>Q4/GETPIVOTDATA("Total Sales",$M$3)</f>
        <v>0.13071591560002474</v>
      </c>
    </row>
    <row r="5" spans="1:18" x14ac:dyDescent="0.3">
      <c r="A5" s="19" t="s">
        <v>19</v>
      </c>
      <c r="B5" s="20">
        <v>1123208.5</v>
      </c>
      <c r="C5" s="20"/>
      <c r="D5" s="19" t="s">
        <v>17</v>
      </c>
      <c r="E5" s="20">
        <v>469018.25</v>
      </c>
      <c r="G5" s="19" t="s">
        <v>13</v>
      </c>
      <c r="H5" s="20">
        <v>2184682</v>
      </c>
      <c r="J5" s="42">
        <v>45779</v>
      </c>
      <c r="K5" s="20">
        <v>15770</v>
      </c>
      <c r="M5" s="19" t="s">
        <v>19</v>
      </c>
      <c r="N5" s="20">
        <v>1123208.5</v>
      </c>
      <c r="P5" s="19" t="s">
        <v>19</v>
      </c>
      <c r="Q5" s="20">
        <v>1123208.5</v>
      </c>
      <c r="R5" s="23">
        <f t="shared" ref="R5:R7" si="0">Q5/GETPIVOTDATA("Total Sales",$M$3)</f>
        <v>0.26810137530405687</v>
      </c>
    </row>
    <row r="6" spans="1:18" x14ac:dyDescent="0.3">
      <c r="A6" s="19" t="s">
        <v>25</v>
      </c>
      <c r="B6" s="20">
        <v>1064850</v>
      </c>
      <c r="C6" s="20"/>
      <c r="D6" s="19" t="s">
        <v>24</v>
      </c>
      <c r="E6" s="20">
        <v>1902555</v>
      </c>
      <c r="G6" s="19" t="s">
        <v>33</v>
      </c>
      <c r="H6" s="20">
        <v>104044</v>
      </c>
      <c r="J6" s="42">
        <v>45780</v>
      </c>
      <c r="K6" s="20">
        <v>71010</v>
      </c>
      <c r="M6" s="19" t="s">
        <v>25</v>
      </c>
      <c r="N6" s="20">
        <v>1064850</v>
      </c>
      <c r="P6" s="19" t="s">
        <v>25</v>
      </c>
      <c r="Q6" s="20">
        <v>1064850</v>
      </c>
      <c r="R6" s="23">
        <f t="shared" si="0"/>
        <v>0.25417164265808617</v>
      </c>
    </row>
    <row r="7" spans="1:18" x14ac:dyDescent="0.3">
      <c r="A7" s="19" t="s">
        <v>15</v>
      </c>
      <c r="B7" s="20">
        <v>1453800</v>
      </c>
      <c r="C7" s="20"/>
      <c r="D7" s="19" t="s">
        <v>21</v>
      </c>
      <c r="E7" s="20">
        <v>41059.5</v>
      </c>
      <c r="G7" s="19" t="s">
        <v>18</v>
      </c>
      <c r="H7" s="20">
        <v>1465942.5</v>
      </c>
      <c r="J7" s="42">
        <v>45781</v>
      </c>
      <c r="K7" s="20">
        <v>761543</v>
      </c>
      <c r="M7" s="19" t="s">
        <v>15</v>
      </c>
      <c r="N7" s="20">
        <v>1453800</v>
      </c>
      <c r="P7" s="19" t="s">
        <v>15</v>
      </c>
      <c r="Q7" s="20">
        <v>1453800</v>
      </c>
      <c r="R7" s="23">
        <f t="shared" si="0"/>
        <v>0.34701106643783225</v>
      </c>
    </row>
    <row r="8" spans="1:18" x14ac:dyDescent="0.3">
      <c r="A8" s="19" t="s">
        <v>131</v>
      </c>
      <c r="B8" s="20"/>
      <c r="C8" s="20"/>
      <c r="D8" s="19" t="s">
        <v>31</v>
      </c>
      <c r="E8" s="20">
        <v>110219</v>
      </c>
      <c r="G8" s="19" t="s">
        <v>113</v>
      </c>
      <c r="H8" s="20">
        <v>4189491.75</v>
      </c>
      <c r="J8" s="42">
        <v>45782</v>
      </c>
      <c r="K8" s="20">
        <v>284590</v>
      </c>
      <c r="M8" s="19" t="s">
        <v>113</v>
      </c>
      <c r="N8" s="20">
        <v>4189491.75</v>
      </c>
      <c r="P8" s="19"/>
      <c r="Q8" s="20"/>
    </row>
    <row r="9" spans="1:18" x14ac:dyDescent="0.3">
      <c r="A9" s="19" t="s">
        <v>113</v>
      </c>
      <c r="B9" s="20">
        <v>4189491.75</v>
      </c>
      <c r="D9" s="19" t="s">
        <v>27</v>
      </c>
      <c r="E9" s="20">
        <v>1620790</v>
      </c>
      <c r="J9" s="42">
        <v>45783</v>
      </c>
      <c r="K9" s="20">
        <v>496317.5</v>
      </c>
    </row>
    <row r="10" spans="1:18" x14ac:dyDescent="0.3">
      <c r="D10" s="19" t="s">
        <v>131</v>
      </c>
      <c r="E10" s="20"/>
      <c r="J10" s="42">
        <v>45784</v>
      </c>
      <c r="K10" s="20">
        <v>9380</v>
      </c>
    </row>
    <row r="11" spans="1:18" x14ac:dyDescent="0.3">
      <c r="D11" s="19" t="s">
        <v>113</v>
      </c>
      <c r="E11" s="20">
        <v>4189491.75</v>
      </c>
      <c r="J11" s="42">
        <v>45785</v>
      </c>
      <c r="K11" s="20">
        <v>89655</v>
      </c>
    </row>
    <row r="12" spans="1:18" x14ac:dyDescent="0.3">
      <c r="J12" s="42">
        <v>45786</v>
      </c>
      <c r="K12" s="20">
        <v>59480</v>
      </c>
    </row>
    <row r="13" spans="1:18" x14ac:dyDescent="0.3">
      <c r="J13" s="42">
        <v>45787</v>
      </c>
      <c r="K13" s="20">
        <v>2080</v>
      </c>
    </row>
    <row r="14" spans="1:18" x14ac:dyDescent="0.3">
      <c r="J14" s="42">
        <v>45788</v>
      </c>
      <c r="K14" s="20">
        <v>352602</v>
      </c>
    </row>
    <row r="15" spans="1:18" x14ac:dyDescent="0.3">
      <c r="J15" s="42">
        <v>45789</v>
      </c>
      <c r="K15" s="20">
        <v>59220</v>
      </c>
    </row>
    <row r="16" spans="1:18" x14ac:dyDescent="0.3">
      <c r="J16" s="42">
        <v>45790</v>
      </c>
      <c r="K16" s="20">
        <v>49206</v>
      </c>
    </row>
    <row r="17" spans="10:11" x14ac:dyDescent="0.3">
      <c r="J17" s="42">
        <v>45791</v>
      </c>
      <c r="K17" s="20">
        <v>225433.25</v>
      </c>
    </row>
    <row r="18" spans="10:11" x14ac:dyDescent="0.3">
      <c r="J18" s="42">
        <v>45792</v>
      </c>
      <c r="K18" s="20">
        <v>1157920</v>
      </c>
    </row>
    <row r="19" spans="10:11" x14ac:dyDescent="0.3">
      <c r="J19" s="42">
        <v>45793</v>
      </c>
      <c r="K19" s="20">
        <v>45190</v>
      </c>
    </row>
    <row r="20" spans="10:11" x14ac:dyDescent="0.3">
      <c r="J20" s="42">
        <v>45794</v>
      </c>
      <c r="K20" s="20">
        <v>9210</v>
      </c>
    </row>
    <row r="21" spans="10:11" x14ac:dyDescent="0.3">
      <c r="J21" s="42">
        <v>45795</v>
      </c>
      <c r="K21" s="20">
        <v>157015</v>
      </c>
    </row>
    <row r="22" spans="10:11" x14ac:dyDescent="0.3">
      <c r="J22" s="42">
        <v>45796</v>
      </c>
      <c r="K22" s="20">
        <v>192430</v>
      </c>
    </row>
    <row r="23" spans="10:11" x14ac:dyDescent="0.3">
      <c r="J23" s="42">
        <v>45797</v>
      </c>
      <c r="K23" s="20">
        <v>4890</v>
      </c>
    </row>
    <row r="24" spans="10:11" x14ac:dyDescent="0.3">
      <c r="J24" s="22" t="s">
        <v>113</v>
      </c>
      <c r="K24" s="20">
        <v>4189491.75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8B124-7D0F-442B-9461-388F00443987}">
  <dimension ref="W7:AF22"/>
  <sheetViews>
    <sheetView showGridLines="0" zoomScale="53" zoomScaleNormal="72" workbookViewId="0">
      <selection activeCell="AH5" sqref="AH5"/>
    </sheetView>
  </sheetViews>
  <sheetFormatPr defaultRowHeight="14.4" x14ac:dyDescent="0.3"/>
  <sheetData>
    <row r="7" spans="32:32" x14ac:dyDescent="0.3">
      <c r="AF7" s="43"/>
    </row>
    <row r="22" spans="23:23" ht="15.6" x14ac:dyDescent="0.3">
      <c r="W22" s="4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71605-C855-4E93-B244-929149B320AC}">
  <dimension ref="A5:B26"/>
  <sheetViews>
    <sheetView showGridLines="0" tabSelected="1" workbookViewId="0">
      <selection activeCell="Q6" sqref="Q6"/>
    </sheetView>
  </sheetViews>
  <sheetFormatPr defaultRowHeight="14.4" x14ac:dyDescent="0.3"/>
  <cols>
    <col min="1" max="1" width="10.5546875" bestFit="1" customWidth="1"/>
    <col min="2" max="2" width="13.109375" bestFit="1" customWidth="1"/>
  </cols>
  <sheetData>
    <row r="5" spans="1:2" x14ac:dyDescent="0.3">
      <c r="A5" s="18" t="s">
        <v>1</v>
      </c>
      <c r="B5" t="s">
        <v>116</v>
      </c>
    </row>
    <row r="6" spans="1:2" x14ac:dyDescent="0.3">
      <c r="A6" s="42">
        <v>45778</v>
      </c>
      <c r="B6" s="20">
        <v>146550</v>
      </c>
    </row>
    <row r="7" spans="1:2" x14ac:dyDescent="0.3">
      <c r="A7" s="42">
        <v>45779</v>
      </c>
      <c r="B7" s="20">
        <v>15770</v>
      </c>
    </row>
    <row r="8" spans="1:2" x14ac:dyDescent="0.3">
      <c r="A8" s="42">
        <v>45780</v>
      </c>
      <c r="B8" s="20">
        <v>71010</v>
      </c>
    </row>
    <row r="9" spans="1:2" x14ac:dyDescent="0.3">
      <c r="A9" s="42">
        <v>45781</v>
      </c>
      <c r="B9" s="20">
        <v>761543</v>
      </c>
    </row>
    <row r="10" spans="1:2" x14ac:dyDescent="0.3">
      <c r="A10" s="42">
        <v>45782</v>
      </c>
      <c r="B10" s="20">
        <v>284590</v>
      </c>
    </row>
    <row r="11" spans="1:2" x14ac:dyDescent="0.3">
      <c r="A11" s="42">
        <v>45783</v>
      </c>
      <c r="B11" s="20">
        <v>496317.5</v>
      </c>
    </row>
    <row r="12" spans="1:2" x14ac:dyDescent="0.3">
      <c r="A12" s="42">
        <v>45784</v>
      </c>
      <c r="B12" s="20">
        <v>9380</v>
      </c>
    </row>
    <row r="13" spans="1:2" x14ac:dyDescent="0.3">
      <c r="A13" s="42">
        <v>45785</v>
      </c>
      <c r="B13" s="20">
        <v>89655</v>
      </c>
    </row>
    <row r="14" spans="1:2" x14ac:dyDescent="0.3">
      <c r="A14" s="42">
        <v>45786</v>
      </c>
      <c r="B14" s="20">
        <v>59480</v>
      </c>
    </row>
    <row r="15" spans="1:2" x14ac:dyDescent="0.3">
      <c r="A15" s="42">
        <v>45787</v>
      </c>
      <c r="B15" s="20">
        <v>2080</v>
      </c>
    </row>
    <row r="16" spans="1:2" x14ac:dyDescent="0.3">
      <c r="A16" s="42">
        <v>45788</v>
      </c>
      <c r="B16" s="20">
        <v>352602</v>
      </c>
    </row>
    <row r="17" spans="1:2" x14ac:dyDescent="0.3">
      <c r="A17" s="42">
        <v>45789</v>
      </c>
      <c r="B17" s="20">
        <v>59220</v>
      </c>
    </row>
    <row r="18" spans="1:2" x14ac:dyDescent="0.3">
      <c r="A18" s="42">
        <v>45790</v>
      </c>
      <c r="B18" s="20">
        <v>49206</v>
      </c>
    </row>
    <row r="19" spans="1:2" x14ac:dyDescent="0.3">
      <c r="A19" s="42">
        <v>45791</v>
      </c>
      <c r="B19" s="20">
        <v>225433.25</v>
      </c>
    </row>
    <row r="20" spans="1:2" x14ac:dyDescent="0.3">
      <c r="A20" s="42">
        <v>45792</v>
      </c>
      <c r="B20" s="20">
        <v>1157920</v>
      </c>
    </row>
    <row r="21" spans="1:2" x14ac:dyDescent="0.3">
      <c r="A21" s="42">
        <v>45793</v>
      </c>
      <c r="B21" s="20">
        <v>45190</v>
      </c>
    </row>
    <row r="22" spans="1:2" x14ac:dyDescent="0.3">
      <c r="A22" s="42">
        <v>45794</v>
      </c>
      <c r="B22" s="20">
        <v>9210</v>
      </c>
    </row>
    <row r="23" spans="1:2" x14ac:dyDescent="0.3">
      <c r="A23" s="42">
        <v>45795</v>
      </c>
      <c r="B23" s="20">
        <v>157015</v>
      </c>
    </row>
    <row r="24" spans="1:2" x14ac:dyDescent="0.3">
      <c r="A24" s="42">
        <v>45796</v>
      </c>
      <c r="B24" s="20">
        <v>192430</v>
      </c>
    </row>
    <row r="25" spans="1:2" x14ac:dyDescent="0.3">
      <c r="A25" s="42">
        <v>45797</v>
      </c>
      <c r="B25" s="20">
        <v>4890</v>
      </c>
    </row>
    <row r="26" spans="1:2" x14ac:dyDescent="0.3">
      <c r="A26" s="22" t="s">
        <v>113</v>
      </c>
      <c r="B26" s="20">
        <v>4189491.75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Monthly Sales Data </vt:lpstr>
      <vt:lpstr>Customer Data</vt:lpstr>
      <vt:lpstr>Pivot Table Sheet</vt:lpstr>
      <vt:lpstr>Chart_Sheet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Taposi Howlader</dc:creator>
  <cp:lastModifiedBy>Taposi Howlader</cp:lastModifiedBy>
  <dcterms:created xsi:type="dcterms:W3CDTF">2025-06-15T17:10:11Z</dcterms:created>
  <dcterms:modified xsi:type="dcterms:W3CDTF">2025-06-23T06:14:12Z</dcterms:modified>
</cp:coreProperties>
</file>