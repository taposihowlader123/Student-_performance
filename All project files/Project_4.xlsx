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202300"/>
  <mc:AlternateContent xmlns:mc="http://schemas.openxmlformats.org/markup-compatibility/2006">
    <mc:Choice Requires="x15">
      <x15ac:absPath xmlns:x15ac="http://schemas.microsoft.com/office/spreadsheetml/2010/11/ac" url="C:\Users\Taposi howlader\Documents\All project files\"/>
    </mc:Choice>
  </mc:AlternateContent>
  <xr:revisionPtr revIDLastSave="0" documentId="13_ncr:1_{2C834C59-3C79-443A-9A54-F36792DB412C}" xr6:coauthVersionLast="47" xr6:coauthVersionMax="47" xr10:uidLastSave="{00000000-0000-0000-0000-000000000000}"/>
  <bookViews>
    <workbookView xWindow="-108" yWindow="-108" windowWidth="23256" windowHeight="12456" activeTab="2" xr2:uid="{612FE08A-8A08-4D05-8865-F4E2F188A497}"/>
  </bookViews>
  <sheets>
    <sheet name="Main Data" sheetId="1" r:id="rId1"/>
    <sheet name="Pivot Tables" sheetId="2" r:id="rId2"/>
    <sheet name="Chart List" sheetId="3" r:id="rId3"/>
  </sheets>
  <externalReferences>
    <externalReference r:id="rId4"/>
  </externalReferences>
  <definedNames>
    <definedName name="Slicer_Month1">#N/A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5" i="1" l="1"/>
  <c r="S25" i="1"/>
  <c r="P25" i="1"/>
  <c r="O25" i="1"/>
  <c r="R25" i="1" s="1"/>
  <c r="M25" i="1"/>
  <c r="N25" i="1" s="1"/>
  <c r="Q25" i="1" s="1"/>
  <c r="V25" i="1" s="1"/>
  <c r="I25" i="1"/>
  <c r="L25" i="1" s="1"/>
  <c r="U24" i="1"/>
  <c r="S24" i="1"/>
  <c r="P24" i="1"/>
  <c r="O24" i="1"/>
  <c r="R24" i="1" s="1"/>
  <c r="M24" i="1"/>
  <c r="N24" i="1" s="1"/>
  <c r="Q24" i="1" s="1"/>
  <c r="I24" i="1"/>
  <c r="L24" i="1" s="1"/>
  <c r="U23" i="1"/>
  <c r="S23" i="1"/>
  <c r="P23" i="1"/>
  <c r="O23" i="1"/>
  <c r="R23" i="1" s="1"/>
  <c r="M23" i="1"/>
  <c r="N23" i="1" s="1"/>
  <c r="Q23" i="1" s="1"/>
  <c r="V23" i="1" s="1"/>
  <c r="I23" i="1"/>
  <c r="L23" i="1" s="1"/>
  <c r="U22" i="1"/>
  <c r="S22" i="1"/>
  <c r="P22" i="1"/>
  <c r="O22" i="1"/>
  <c r="R22" i="1" s="1"/>
  <c r="M22" i="1"/>
  <c r="N22" i="1" s="1"/>
  <c r="Q22" i="1" s="1"/>
  <c r="I22" i="1"/>
  <c r="L22" i="1" s="1"/>
  <c r="U21" i="1"/>
  <c r="S21" i="1"/>
  <c r="P21" i="1"/>
  <c r="O21" i="1"/>
  <c r="R21" i="1" s="1"/>
  <c r="M21" i="1"/>
  <c r="N21" i="1" s="1"/>
  <c r="Q21" i="1" s="1"/>
  <c r="V21" i="1" s="1"/>
  <c r="I21" i="1"/>
  <c r="L21" i="1" s="1"/>
  <c r="U20" i="1"/>
  <c r="S20" i="1"/>
  <c r="P20" i="1"/>
  <c r="R20" i="1" s="1"/>
  <c r="N20" i="1"/>
  <c r="Q20" i="1" s="1"/>
  <c r="M20" i="1"/>
  <c r="L20" i="1"/>
  <c r="I20" i="1"/>
  <c r="U19" i="1"/>
  <c r="S19" i="1"/>
  <c r="P19" i="1"/>
  <c r="R19" i="1" s="1"/>
  <c r="O19" i="1"/>
  <c r="M19" i="1"/>
  <c r="N19" i="1" s="1"/>
  <c r="Q19" i="1" s="1"/>
  <c r="L19" i="1"/>
  <c r="I19" i="1"/>
  <c r="U18" i="1"/>
  <c r="S18" i="1"/>
  <c r="P18" i="1"/>
  <c r="O18" i="1"/>
  <c r="R18" i="1" s="1"/>
  <c r="N18" i="1"/>
  <c r="Q18" i="1" s="1"/>
  <c r="V18" i="1" s="1"/>
  <c r="M18" i="1"/>
  <c r="I18" i="1"/>
  <c r="L18" i="1" s="1"/>
  <c r="U17" i="1"/>
  <c r="S17" i="1"/>
  <c r="P17" i="1"/>
  <c r="R17" i="1" s="1"/>
  <c r="O17" i="1"/>
  <c r="M17" i="1"/>
  <c r="N17" i="1" s="1"/>
  <c r="Q17" i="1" s="1"/>
  <c r="L17" i="1"/>
  <c r="I17" i="1"/>
  <c r="U16" i="1"/>
  <c r="S16" i="1"/>
  <c r="P16" i="1"/>
  <c r="O16" i="1"/>
  <c r="R16" i="1" s="1"/>
  <c r="N16" i="1"/>
  <c r="Q16" i="1" s="1"/>
  <c r="M16" i="1"/>
  <c r="I16" i="1"/>
  <c r="L16" i="1" s="1"/>
  <c r="U15" i="1"/>
  <c r="S15" i="1"/>
  <c r="P15" i="1"/>
  <c r="R15" i="1" s="1"/>
  <c r="O15" i="1"/>
  <c r="M15" i="1"/>
  <c r="N15" i="1" s="1"/>
  <c r="Q15" i="1" s="1"/>
  <c r="V15" i="1" s="1"/>
  <c r="L15" i="1"/>
  <c r="I15" i="1"/>
  <c r="U14" i="1"/>
  <c r="S14" i="1"/>
  <c r="P14" i="1"/>
  <c r="O14" i="1"/>
  <c r="R14" i="1" s="1"/>
  <c r="N14" i="1"/>
  <c r="Q14" i="1" s="1"/>
  <c r="V14" i="1" s="1"/>
  <c r="M14" i="1"/>
  <c r="I14" i="1"/>
  <c r="L14" i="1" s="1"/>
  <c r="U13" i="1"/>
  <c r="S13" i="1"/>
  <c r="P13" i="1"/>
  <c r="R13" i="1" s="1"/>
  <c r="O13" i="1"/>
  <c r="M13" i="1"/>
  <c r="N13" i="1" s="1"/>
  <c r="Q13" i="1" s="1"/>
  <c r="V13" i="1" s="1"/>
  <c r="L13" i="1"/>
  <c r="I13" i="1"/>
  <c r="U12" i="1"/>
  <c r="W12" i="1" s="1"/>
  <c r="S12" i="1"/>
  <c r="R12" i="1"/>
  <c r="P12" i="1"/>
  <c r="N12" i="1"/>
  <c r="Q12" i="1" s="1"/>
  <c r="V12" i="1" s="1"/>
  <c r="M12" i="1"/>
  <c r="I12" i="1"/>
  <c r="L12" i="1" s="1"/>
  <c r="U11" i="1"/>
  <c r="S11" i="1"/>
  <c r="P11" i="1"/>
  <c r="O11" i="1"/>
  <c r="R11" i="1" s="1"/>
  <c r="M11" i="1"/>
  <c r="N11" i="1" s="1"/>
  <c r="Q11" i="1" s="1"/>
  <c r="L11" i="1"/>
  <c r="I11" i="1"/>
  <c r="U10" i="1"/>
  <c r="S10" i="1"/>
  <c r="R10" i="1"/>
  <c r="T10" i="1" s="1"/>
  <c r="P10" i="1"/>
  <c r="O10" i="1"/>
  <c r="N10" i="1"/>
  <c r="Q10" i="1" s="1"/>
  <c r="V10" i="1" s="1"/>
  <c r="M10" i="1"/>
  <c r="I10" i="1"/>
  <c r="L10" i="1" s="1"/>
  <c r="U9" i="1"/>
  <c r="S9" i="1"/>
  <c r="P9" i="1"/>
  <c r="O9" i="1"/>
  <c r="R9" i="1" s="1"/>
  <c r="M9" i="1"/>
  <c r="N9" i="1" s="1"/>
  <c r="Q9" i="1" s="1"/>
  <c r="V9" i="1" s="1"/>
  <c r="L9" i="1"/>
  <c r="I9" i="1"/>
  <c r="U8" i="1"/>
  <c r="S8" i="1"/>
  <c r="R8" i="1"/>
  <c r="T8" i="1" s="1"/>
  <c r="P8" i="1"/>
  <c r="O8" i="1"/>
  <c r="N8" i="1"/>
  <c r="Q8" i="1" s="1"/>
  <c r="M8" i="1"/>
  <c r="I8" i="1"/>
  <c r="L8" i="1" s="1"/>
  <c r="U7" i="1"/>
  <c r="S7" i="1"/>
  <c r="P7" i="1"/>
  <c r="O7" i="1"/>
  <c r="R7" i="1" s="1"/>
  <c r="M7" i="1"/>
  <c r="N7" i="1" s="1"/>
  <c r="Q7" i="1" s="1"/>
  <c r="L7" i="1"/>
  <c r="I7" i="1"/>
  <c r="U6" i="1"/>
  <c r="S6" i="1"/>
  <c r="R6" i="1"/>
  <c r="T6" i="1" s="1"/>
  <c r="P6" i="1"/>
  <c r="O6" i="1"/>
  <c r="N6" i="1"/>
  <c r="Q6" i="1" s="1"/>
  <c r="M6" i="1"/>
  <c r="I6" i="1"/>
  <c r="L6" i="1" s="1"/>
  <c r="U5" i="1"/>
  <c r="S5" i="1"/>
  <c r="P5" i="1"/>
  <c r="O5" i="1"/>
  <c r="R5" i="1" s="1"/>
  <c r="M5" i="1"/>
  <c r="N5" i="1" s="1"/>
  <c r="Q5" i="1" s="1"/>
  <c r="V5" i="1" s="1"/>
  <c r="L5" i="1"/>
  <c r="I5" i="1"/>
  <c r="U4" i="1"/>
  <c r="S4" i="1"/>
  <c r="R4" i="1"/>
  <c r="P4" i="1"/>
  <c r="O4" i="1"/>
  <c r="N4" i="1"/>
  <c r="Q4" i="1" s="1"/>
  <c r="M4" i="1"/>
  <c r="I4" i="1"/>
  <c r="L4" i="1" s="1"/>
  <c r="U3" i="1"/>
  <c r="S3" i="1"/>
  <c r="P3" i="1"/>
  <c r="O3" i="1"/>
  <c r="R3" i="1" s="1"/>
  <c r="M3" i="1"/>
  <c r="N3" i="1" s="1"/>
  <c r="Q3" i="1" s="1"/>
  <c r="L3" i="1"/>
  <c r="I3" i="1"/>
  <c r="U2" i="1"/>
  <c r="S2" i="1"/>
  <c r="R2" i="1"/>
  <c r="T2" i="1" s="1"/>
  <c r="P2" i="1"/>
  <c r="O2" i="1"/>
  <c r="N2" i="1"/>
  <c r="Q2" i="1" s="1"/>
  <c r="V2" i="1" s="1"/>
  <c r="M2" i="1"/>
  <c r="I2" i="1"/>
  <c r="L2" i="1" s="1"/>
  <c r="V17" i="1" l="1"/>
  <c r="V19" i="1"/>
  <c r="V6" i="1"/>
  <c r="V3" i="1"/>
  <c r="V16" i="1"/>
  <c r="V7" i="1"/>
  <c r="V4" i="1"/>
  <c r="V24" i="1"/>
  <c r="V8" i="1"/>
  <c r="V20" i="1"/>
  <c r="V11" i="1"/>
  <c r="V22" i="1"/>
  <c r="T7" i="1"/>
  <c r="W7" i="1"/>
  <c r="X7" i="1" s="1"/>
  <c r="W14" i="1"/>
  <c r="X14" i="1" s="1"/>
  <c r="T14" i="1"/>
  <c r="W15" i="1"/>
  <c r="X15" i="1" s="1"/>
  <c r="T15" i="1"/>
  <c r="T18" i="1"/>
  <c r="W18" i="1"/>
  <c r="X18" i="1" s="1"/>
  <c r="W3" i="1"/>
  <c r="T3" i="1"/>
  <c r="T11" i="1"/>
  <c r="W11" i="1"/>
  <c r="W17" i="1"/>
  <c r="X17" i="1" s="1"/>
  <c r="T17" i="1"/>
  <c r="T22" i="1"/>
  <c r="W22" i="1"/>
  <c r="X22" i="1" s="1"/>
  <c r="T24" i="1"/>
  <c r="W24" i="1"/>
  <c r="W19" i="1"/>
  <c r="X19" i="1" s="1"/>
  <c r="T19" i="1"/>
  <c r="T21" i="1"/>
  <c r="W21" i="1"/>
  <c r="X21" i="1" s="1"/>
  <c r="T23" i="1"/>
  <c r="W23" i="1"/>
  <c r="X23" i="1" s="1"/>
  <c r="T25" i="1"/>
  <c r="W25" i="1"/>
  <c r="X25" i="1" s="1"/>
  <c r="T5" i="1"/>
  <c r="W5" i="1"/>
  <c r="X5" i="1" s="1"/>
  <c r="X12" i="1"/>
  <c r="T12" i="1"/>
  <c r="W13" i="1"/>
  <c r="X13" i="1" s="1"/>
  <c r="T13" i="1"/>
  <c r="T16" i="1"/>
  <c r="W16" i="1"/>
  <c r="X16" i="1" s="1"/>
  <c r="T4" i="1"/>
  <c r="T9" i="1"/>
  <c r="W9" i="1"/>
  <c r="X9" i="1" s="1"/>
  <c r="T20" i="1"/>
  <c r="W20" i="1"/>
  <c r="X20" i="1" s="1"/>
  <c r="W4" i="1"/>
  <c r="W6" i="1"/>
  <c r="W8" i="1"/>
  <c r="X8" i="1" s="1"/>
  <c r="W10" i="1"/>
  <c r="X10" i="1" s="1"/>
  <c r="W2" i="1"/>
  <c r="X2" i="1" s="1"/>
  <c r="X24" i="1" l="1"/>
  <c r="X6" i="1"/>
  <c r="X3" i="1"/>
  <c r="X4" i="1"/>
  <c r="X11" i="1"/>
</calcChain>
</file>

<file path=xl/sharedStrings.xml><?xml version="1.0" encoding="utf-8"?>
<sst xmlns="http://schemas.openxmlformats.org/spreadsheetml/2006/main" count="147" uniqueCount="53">
  <si>
    <t>SL No.</t>
  </si>
  <si>
    <t>Month</t>
  </si>
  <si>
    <t>Department</t>
  </si>
  <si>
    <t>Emp Id</t>
  </si>
  <si>
    <t>Emp Name</t>
  </si>
  <si>
    <t>Present Days</t>
  </si>
  <si>
    <t>Target Present Days</t>
  </si>
  <si>
    <t>Total Calls made</t>
  </si>
  <si>
    <t>Monthly Connected Calls</t>
  </si>
  <si>
    <t>Monthly Lead Count</t>
  </si>
  <si>
    <t>Monthly Conversion Count</t>
  </si>
  <si>
    <t>Monthly Productivity</t>
  </si>
  <si>
    <t>Target sales per Day</t>
  </si>
  <si>
    <t>Monthly Sale Target</t>
  </si>
  <si>
    <t>Monthly Sales Count</t>
  </si>
  <si>
    <t>Per Sale Revenue</t>
  </si>
  <si>
    <t>Target Revenue</t>
  </si>
  <si>
    <t>Revenue Earned</t>
  </si>
  <si>
    <t>Target Achievement%</t>
  </si>
  <si>
    <t>Sale Achievement%</t>
  </si>
  <si>
    <t>Cost to Company</t>
  </si>
  <si>
    <t>Target Net Profit</t>
  </si>
  <si>
    <t>Net Profit Earned</t>
  </si>
  <si>
    <t>Profit Achievement%</t>
  </si>
  <si>
    <t>January</t>
  </si>
  <si>
    <t>Mediclaim</t>
  </si>
  <si>
    <t>Abc-001</t>
  </si>
  <si>
    <t>Sneha Mitra</t>
  </si>
  <si>
    <t>Life Insurance</t>
  </si>
  <si>
    <t>Abc-002</t>
  </si>
  <si>
    <t>Harsh Sheth</t>
  </si>
  <si>
    <t>Car Insurance</t>
  </si>
  <si>
    <t>Abc-003</t>
  </si>
  <si>
    <t>Rounak Jain</t>
  </si>
  <si>
    <t>Abc-004</t>
  </si>
  <si>
    <t>Syed Hasan</t>
  </si>
  <si>
    <t>Abc-005</t>
  </si>
  <si>
    <t>Bisruta Sarkar</t>
  </si>
  <si>
    <t>Accident Insurance</t>
  </si>
  <si>
    <t>Abc-006</t>
  </si>
  <si>
    <t>Nitesh Khatry</t>
  </si>
  <si>
    <t>February</t>
  </si>
  <si>
    <t>March</t>
  </si>
  <si>
    <t>April</t>
  </si>
  <si>
    <t>Row Labels</t>
  </si>
  <si>
    <t>Grand Total</t>
  </si>
  <si>
    <t xml:space="preserve">Depertment </t>
  </si>
  <si>
    <t>Revenue_Earned</t>
  </si>
  <si>
    <t>Sum of Net Profit Earned</t>
  </si>
  <si>
    <t xml:space="preserve">Employee Name </t>
  </si>
  <si>
    <t>Average of Monthly Productivity</t>
  </si>
  <si>
    <t xml:space="preserve">Department </t>
  </si>
  <si>
    <t>Net_Profit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</si>
</sst>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0" fontId="2" fillId="2" borderId="1" xfId="0" applyFont="1" applyFill="1" applyBorder="1" applyAlignment="1">
      <alignment horizontal="center"/>
    </xf>
    <xf numFmtId="0" fontId="0" fillId="0" borderId="1" xfId="0" applyBorder="1" applyAlignment="1">
      <alignment horizontal="center"/>
    </xf>
    <xf numFmtId="1" fontId="0" fillId="0" borderId="1" xfId="0" applyNumberFormat="1" applyBorder="1" applyAlignment="1">
      <alignment horizontal="center"/>
    </xf>
    <xf numFmtId="9" fontId="0" fillId="0" borderId="1" xfId="1" applyFont="1" applyBorder="1" applyAlignment="1">
      <alignment horizontal="center"/>
    </xf>
    <xf numFmtId="9" fontId="0" fillId="0" borderId="1" xfId="0" applyNumberFormat="1" applyBorder="1"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[Project_4.xlsx]Pivot Tables!PivotTable4</c:name>
    <c:fmtId val="11"/>
  </c:pivotSource>
  <c:chart>
    <c:title>
      <c:tx>
        <c:rich>
          <a:bodyPr rot="0" spcFirstLastPara="1" vertOverflow="ellipsis" vert="horz" wrap="square" anchor="ctr" anchorCtr="1"/>
          <a:lstStyle/>
          <a:p>
            <a:pPr>
              <a:defRPr sz="1800" b="1" i="0" u="none" strike="noStrike" kern="1200" spc="100" baseline="0">
                <a:solidFill>
                  <a:schemeClr val="accent6">
                    <a:lumMod val="50000"/>
                  </a:schemeClr>
                </a:solidFill>
                <a:effectLst>
                  <a:outerShdw blurRad="50800" dist="38100" dir="5400000" algn="t" rotWithShape="0">
                    <a:prstClr val="black">
                      <a:alpha val="40000"/>
                    </a:prstClr>
                  </a:outerShdw>
                </a:effectLst>
                <a:latin typeface="+mn-lt"/>
                <a:ea typeface="+mn-ea"/>
                <a:cs typeface="+mn-cs"/>
              </a:defRPr>
            </a:pPr>
            <a:r>
              <a:rPr lang="en-US" sz="1800">
                <a:solidFill>
                  <a:schemeClr val="accent6">
                    <a:lumMod val="50000"/>
                  </a:schemeClr>
                </a:solidFill>
              </a:rPr>
              <a:t>Depatment Wise company Revenue Earn </a:t>
            </a:r>
          </a:p>
        </c:rich>
      </c:tx>
      <c:overlay val="0"/>
      <c:spPr>
        <a:noFill/>
        <a:ln>
          <a:noFill/>
        </a:ln>
        <a:effectLst/>
      </c:spPr>
      <c:txPr>
        <a:bodyPr rot="0" spcFirstLastPara="1" vertOverflow="ellipsis" vert="horz" wrap="square" anchor="ctr" anchorCtr="1"/>
        <a:lstStyle/>
        <a:p>
          <a:pPr>
            <a:defRPr sz="1800" b="1" i="0" u="none" strike="noStrike" kern="1200" spc="100" baseline="0">
              <a:solidFill>
                <a:schemeClr val="accent6">
                  <a:lumMod val="5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1.3888888888888888E-2"/>
              <c:y val="4.6296296296296294E-3"/>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3888888888888888E-2"/>
              <c:y val="4.6296296296296294E-3"/>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6282917110258728E-3"/>
              <c:y val="2.1771136192997114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248272536445144"/>
                  <c:h val="7.3501240533784845E-2"/>
                </c:manualLayout>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0-B50F-4BBF-8AE7-F7B7AEBBDCE4}"/>
              </c:ext>
            </c:extLst>
          </c:dPt>
          <c:dLbls>
            <c:dLbl>
              <c:idx val="2"/>
              <c:layout>
                <c:manualLayout>
                  <c:x val="-1.6282917110258728E-3"/>
                  <c:y val="2.1771136192997114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248272536445144"/>
                      <c:h val="7.3501240533784845E-2"/>
                    </c:manualLayout>
                  </c15:layout>
                </c:ext>
                <c:ext xmlns:c16="http://schemas.microsoft.com/office/drawing/2014/chart" uri="{C3380CC4-5D6E-409C-BE32-E72D297353CC}">
                  <c16:uniqueId val="{00000000-B50F-4BBF-8AE7-F7B7AEBBDCE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Tables'!$A$4:$A$8</c:f>
              <c:strCache>
                <c:ptCount val="4"/>
                <c:pt idx="0">
                  <c:v>Accident Insurance</c:v>
                </c:pt>
                <c:pt idx="1">
                  <c:v>Car Insurance</c:v>
                </c:pt>
                <c:pt idx="2">
                  <c:v>Life Insurance</c:v>
                </c:pt>
                <c:pt idx="3">
                  <c:v>Mediclaim</c:v>
                </c:pt>
              </c:strCache>
            </c:strRef>
          </c:cat>
          <c:val>
            <c:numRef>
              <c:f>'Pivot Tables'!$B$4:$B$8</c:f>
              <c:numCache>
                <c:formatCode>General</c:formatCode>
                <c:ptCount val="4"/>
                <c:pt idx="0">
                  <c:v>58800</c:v>
                </c:pt>
                <c:pt idx="1">
                  <c:v>57500</c:v>
                </c:pt>
                <c:pt idx="2">
                  <c:v>129600</c:v>
                </c:pt>
                <c:pt idx="3">
                  <c:v>118500</c:v>
                </c:pt>
              </c:numCache>
            </c:numRef>
          </c:val>
          <c:extLst>
            <c:ext xmlns:c16="http://schemas.microsoft.com/office/drawing/2014/chart" uri="{C3380CC4-5D6E-409C-BE32-E72D297353CC}">
              <c16:uniqueId val="{00000001-B50F-4BBF-8AE7-F7B7AEBBDCE4}"/>
            </c:ext>
          </c:extLst>
        </c:ser>
        <c:dLbls>
          <c:showLegendKey val="0"/>
          <c:showVal val="1"/>
          <c:showCatName val="0"/>
          <c:showSerName val="0"/>
          <c:showPercent val="0"/>
          <c:showBubbleSize val="0"/>
        </c:dLbls>
        <c:gapWidth val="150"/>
        <c:shape val="box"/>
        <c:axId val="1202146879"/>
        <c:axId val="1202155519"/>
        <c:axId val="0"/>
      </c:bar3DChart>
      <c:catAx>
        <c:axId val="1202146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202155519"/>
        <c:crosses val="autoZero"/>
        <c:auto val="1"/>
        <c:lblAlgn val="ctr"/>
        <c:lblOffset val="100"/>
        <c:noMultiLvlLbl val="0"/>
      </c:catAx>
      <c:valAx>
        <c:axId val="1202155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202146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[Project_4.xlsx]Pivot Tables!PivotTable6</c:name>
    <c:fmtId val="4"/>
  </c:pivotSource>
  <c:chart>
    <c:title>
      <c:tx>
        <c:rich>
          <a:bodyPr rot="0" spcFirstLastPara="1" vertOverflow="ellipsis" vert="horz" wrap="square" anchor="ctr" anchorCtr="1"/>
          <a:lstStyle/>
          <a:p>
            <a:pPr>
              <a:defRPr sz="1800" b="1" i="0" u="none" strike="noStrike" kern="1200" spc="100" baseline="0">
                <a:solidFill>
                  <a:schemeClr val="accent5">
                    <a:lumMod val="50000"/>
                  </a:schemeClr>
                </a:solidFill>
                <a:effectLst>
                  <a:outerShdw blurRad="50800" dist="38100" dir="5400000" algn="t" rotWithShape="0">
                    <a:prstClr val="black">
                      <a:alpha val="40000"/>
                    </a:prstClr>
                  </a:outerShdw>
                </a:effectLst>
                <a:latin typeface="+mn-lt"/>
                <a:ea typeface="+mn-ea"/>
                <a:cs typeface="+mn-cs"/>
              </a:defRPr>
            </a:pPr>
            <a:r>
              <a:rPr lang="en-US" sz="1800">
                <a:solidFill>
                  <a:schemeClr val="accent5">
                    <a:lumMod val="50000"/>
                  </a:schemeClr>
                </a:solidFill>
              </a:rPr>
              <a:t>Month Wise Net Profit </a:t>
            </a:r>
          </a:p>
        </c:rich>
      </c:tx>
      <c:overlay val="0"/>
      <c:spPr>
        <a:noFill/>
        <a:ln>
          <a:noFill/>
        </a:ln>
        <a:effectLst/>
      </c:spPr>
      <c:txPr>
        <a:bodyPr rot="0" spcFirstLastPara="1" vertOverflow="ellipsis" vert="horz" wrap="square" anchor="ctr" anchorCtr="1"/>
        <a:lstStyle/>
        <a:p>
          <a:pPr>
            <a:defRPr sz="1800" b="1" i="0" u="none" strike="noStrike" kern="1200" spc="100" baseline="0">
              <a:solidFill>
                <a:schemeClr val="accent5">
                  <a:lumMod val="5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Tables'!$D$4:$D$5</c:f>
              <c:strCache>
                <c:ptCount val="1"/>
                <c:pt idx="0">
                  <c:v>January</c:v>
                </c:pt>
              </c:strCache>
            </c:strRef>
          </c:cat>
          <c:val>
            <c:numRef>
              <c:f>'Pivot Tables'!$E$4:$E$5</c:f>
              <c:numCache>
                <c:formatCode>General</c:formatCode>
                <c:ptCount val="1"/>
                <c:pt idx="0">
                  <c:v>184880</c:v>
                </c:pt>
              </c:numCache>
            </c:numRef>
          </c:val>
          <c:extLst>
            <c:ext xmlns:c16="http://schemas.microsoft.com/office/drawing/2014/chart" uri="{C3380CC4-5D6E-409C-BE32-E72D297353CC}">
              <c16:uniqueId val="{00000000-6761-491F-B023-59B81B095C57}"/>
            </c:ext>
          </c:extLst>
        </c:ser>
        <c:dLbls>
          <c:showLegendKey val="0"/>
          <c:showVal val="1"/>
          <c:showCatName val="0"/>
          <c:showSerName val="0"/>
          <c:showPercent val="0"/>
          <c:showBubbleSize val="0"/>
        </c:dLbls>
        <c:gapWidth val="150"/>
        <c:shape val="box"/>
        <c:axId val="190088783"/>
        <c:axId val="1202187199"/>
        <c:axId val="0"/>
      </c:bar3DChart>
      <c:catAx>
        <c:axId val="1900887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2">
                    <a:lumMod val="90000"/>
                    <a:lumOff val="10000"/>
                  </a:schemeClr>
                </a:solidFill>
                <a:latin typeface="+mn-lt"/>
                <a:ea typeface="+mn-ea"/>
                <a:cs typeface="+mn-cs"/>
              </a:defRPr>
            </a:pPr>
            <a:endParaRPr lang="en-US"/>
          </a:p>
        </c:txPr>
        <c:crossAx val="1202187199"/>
        <c:crosses val="autoZero"/>
        <c:auto val="1"/>
        <c:lblAlgn val="ctr"/>
        <c:lblOffset val="100"/>
        <c:noMultiLvlLbl val="0"/>
      </c:catAx>
      <c:valAx>
        <c:axId val="1202187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90088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[Project_4.xlsx]Pivot Tables!PivotTable7</c:name>
    <c:fmtId val="4"/>
  </c:pivotSource>
  <c:chart>
    <c:title>
      <c:tx>
        <c:rich>
          <a:bodyPr rot="0" spcFirstLastPara="1" vertOverflow="ellipsis" vert="horz" wrap="square" anchor="ctr" anchorCtr="1"/>
          <a:lstStyle/>
          <a:p>
            <a:pPr>
              <a:defRPr sz="1800" b="1" i="0" u="none" strike="noStrike" kern="1200" spc="100" baseline="0">
                <a:solidFill>
                  <a:schemeClr val="accent6">
                    <a:lumMod val="50000"/>
                  </a:schemeClr>
                </a:solidFill>
                <a:effectLst>
                  <a:outerShdw blurRad="50800" dist="38100" dir="5400000" algn="t" rotWithShape="0">
                    <a:prstClr val="black">
                      <a:alpha val="40000"/>
                    </a:prstClr>
                  </a:outerShdw>
                </a:effectLst>
                <a:latin typeface="+mn-lt"/>
                <a:ea typeface="+mn-ea"/>
                <a:cs typeface="+mn-cs"/>
              </a:defRPr>
            </a:pPr>
            <a:r>
              <a:rPr lang="en-US" sz="1800">
                <a:solidFill>
                  <a:schemeClr val="accent6">
                    <a:lumMod val="50000"/>
                  </a:schemeClr>
                </a:solidFill>
              </a:rPr>
              <a:t>Employee Average Monthly Productivity</a:t>
            </a:r>
          </a:p>
        </c:rich>
      </c:tx>
      <c:overlay val="0"/>
      <c:spPr>
        <a:noFill/>
        <a:ln>
          <a:noFill/>
        </a:ln>
        <a:effectLst/>
      </c:spPr>
      <c:txPr>
        <a:bodyPr rot="0" spcFirstLastPara="1" vertOverflow="ellipsis" vert="horz" wrap="square" anchor="ctr" anchorCtr="1"/>
        <a:lstStyle/>
        <a:p>
          <a:pPr>
            <a:defRPr sz="1800" b="1" i="0" u="none" strike="noStrike" kern="1200" spc="100" baseline="0">
              <a:solidFill>
                <a:schemeClr val="accent6">
                  <a:lumMod val="5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Tables'!$H$4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Tables'!$G$5:$G$11</c:f>
              <c:strCache>
                <c:ptCount val="6"/>
                <c:pt idx="0">
                  <c:v>Bisruta Sarkar</c:v>
                </c:pt>
                <c:pt idx="1">
                  <c:v>Harsh Sheth</c:v>
                </c:pt>
                <c:pt idx="2">
                  <c:v>Nitesh Khatry</c:v>
                </c:pt>
                <c:pt idx="3">
                  <c:v>Rounak Jain</c:v>
                </c:pt>
                <c:pt idx="4">
                  <c:v>Sneha Mitra</c:v>
                </c:pt>
                <c:pt idx="5">
                  <c:v>Syed Hasan</c:v>
                </c:pt>
              </c:strCache>
            </c:strRef>
          </c:cat>
          <c:val>
            <c:numRef>
              <c:f>'Pivot Tables'!$H$5:$H$11</c:f>
              <c:numCache>
                <c:formatCode>General</c:formatCode>
                <c:ptCount val="6"/>
                <c:pt idx="0">
                  <c:v>39</c:v>
                </c:pt>
                <c:pt idx="1">
                  <c:v>33</c:v>
                </c:pt>
                <c:pt idx="2">
                  <c:v>49</c:v>
                </c:pt>
                <c:pt idx="3">
                  <c:v>23</c:v>
                </c:pt>
                <c:pt idx="4">
                  <c:v>38</c:v>
                </c:pt>
                <c:pt idx="5">
                  <c:v>41</c:v>
                </c:pt>
              </c:numCache>
            </c:numRef>
          </c:val>
          <c:extLst>
            <c:ext xmlns:c16="http://schemas.microsoft.com/office/drawing/2014/chart" uri="{C3380CC4-5D6E-409C-BE32-E72D297353CC}">
              <c16:uniqueId val="{00000000-D0BE-428D-911C-79421DC61E5E}"/>
            </c:ext>
          </c:extLst>
        </c:ser>
        <c:dLbls>
          <c:showLegendKey val="0"/>
          <c:showVal val="1"/>
          <c:showCatName val="0"/>
          <c:showSerName val="0"/>
          <c:showPercent val="0"/>
          <c:showBubbleSize val="0"/>
        </c:dLbls>
        <c:gapWidth val="150"/>
        <c:shape val="box"/>
        <c:axId val="1274593311"/>
        <c:axId val="1274581311"/>
        <c:axId val="0"/>
      </c:bar3DChart>
      <c:catAx>
        <c:axId val="12745933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accent5">
                    <a:lumMod val="50000"/>
                  </a:schemeClr>
                </a:solidFill>
                <a:latin typeface="+mn-lt"/>
                <a:ea typeface="+mn-ea"/>
                <a:cs typeface="+mn-cs"/>
              </a:defRPr>
            </a:pPr>
            <a:endParaRPr lang="en-US"/>
          </a:p>
        </c:txPr>
        <c:crossAx val="1274581311"/>
        <c:crosses val="autoZero"/>
        <c:auto val="1"/>
        <c:lblAlgn val="ctr"/>
        <c:lblOffset val="100"/>
        <c:noMultiLvlLbl val="0"/>
      </c:catAx>
      <c:valAx>
        <c:axId val="1274581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5">
                    <a:lumMod val="50000"/>
                  </a:schemeClr>
                </a:solidFill>
                <a:latin typeface="+mn-lt"/>
                <a:ea typeface="+mn-ea"/>
                <a:cs typeface="+mn-cs"/>
              </a:defRPr>
            </a:pPr>
            <a:endParaRPr lang="en-US"/>
          </a:p>
        </c:txPr>
        <c:crossAx val="1274593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[Project_4.xlsx]Pivot Tables!PivotTable8</c:name>
    <c:fmtId val="5"/>
  </c:pivotSource>
  <c:chart>
    <c:title>
      <c:tx>
        <c:rich>
          <a:bodyPr rot="0" spcFirstLastPara="1" vertOverflow="ellipsis" vert="horz" wrap="square" anchor="ctr" anchorCtr="1"/>
          <a:lstStyle/>
          <a:p>
            <a:pPr>
              <a:defRPr sz="1800" b="1" i="0" u="none" strike="noStrike" kern="1200" spc="100" baseline="0">
                <a:solidFill>
                  <a:schemeClr val="accent5">
                    <a:lumMod val="75000"/>
                  </a:schemeClr>
                </a:solidFill>
                <a:effectLst>
                  <a:outerShdw blurRad="50800" dist="38100" dir="5400000" algn="t" rotWithShape="0">
                    <a:prstClr val="black">
                      <a:alpha val="40000"/>
                    </a:prstClr>
                  </a:outerShdw>
                </a:effectLst>
                <a:latin typeface="+mn-lt"/>
                <a:ea typeface="+mn-ea"/>
                <a:cs typeface="+mn-cs"/>
              </a:defRPr>
            </a:pPr>
            <a:r>
              <a:rPr lang="en-US" sz="1800">
                <a:solidFill>
                  <a:schemeClr val="accent5">
                    <a:lumMod val="75000"/>
                  </a:schemeClr>
                </a:solidFill>
              </a:rPr>
              <a:t>Department Wise Net Profit Earned</a:t>
            </a:r>
          </a:p>
        </c:rich>
      </c:tx>
      <c:overlay val="0"/>
      <c:spPr>
        <a:noFill/>
        <a:ln>
          <a:noFill/>
        </a:ln>
        <a:effectLst/>
      </c:spPr>
      <c:txPr>
        <a:bodyPr rot="0" spcFirstLastPara="1" vertOverflow="ellipsis" vert="horz" wrap="square" anchor="ctr" anchorCtr="1"/>
        <a:lstStyle/>
        <a:p>
          <a:pPr>
            <a:defRPr sz="1800" b="1" i="0" u="none" strike="noStrike" kern="1200" spc="100" baseline="0">
              <a:solidFill>
                <a:schemeClr val="accent5">
                  <a:lumMod val="7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Tables'!$K$4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Tables'!$J$5:$J$9</c:f>
              <c:strCache>
                <c:ptCount val="4"/>
                <c:pt idx="0">
                  <c:v>Accident Insurance</c:v>
                </c:pt>
                <c:pt idx="1">
                  <c:v>Car Insurance</c:v>
                </c:pt>
                <c:pt idx="2">
                  <c:v>Life Insurance</c:v>
                </c:pt>
                <c:pt idx="3">
                  <c:v>Mediclaim</c:v>
                </c:pt>
              </c:strCache>
            </c:strRef>
          </c:cat>
          <c:val>
            <c:numRef>
              <c:f>'Pivot Tables'!$K$5:$K$9</c:f>
              <c:numCache>
                <c:formatCode>General</c:formatCode>
                <c:ptCount val="4"/>
                <c:pt idx="0">
                  <c:v>32280</c:v>
                </c:pt>
                <c:pt idx="1">
                  <c:v>29960</c:v>
                </c:pt>
                <c:pt idx="2">
                  <c:v>66360</c:v>
                </c:pt>
                <c:pt idx="3">
                  <c:v>56280</c:v>
                </c:pt>
              </c:numCache>
            </c:numRef>
          </c:val>
          <c:extLst>
            <c:ext xmlns:c16="http://schemas.microsoft.com/office/drawing/2014/chart" uri="{C3380CC4-5D6E-409C-BE32-E72D297353CC}">
              <c16:uniqueId val="{00000000-0AE7-4AE8-B5B0-99710E364F98}"/>
            </c:ext>
          </c:extLst>
        </c:ser>
        <c:dLbls>
          <c:showLegendKey val="0"/>
          <c:showVal val="1"/>
          <c:showCatName val="0"/>
          <c:showSerName val="0"/>
          <c:showPercent val="0"/>
          <c:showBubbleSize val="0"/>
        </c:dLbls>
        <c:gapWidth val="150"/>
        <c:shape val="box"/>
        <c:axId val="1274591871"/>
        <c:axId val="1274592831"/>
        <c:axId val="0"/>
      </c:bar3DChart>
      <c:catAx>
        <c:axId val="12745918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274592831"/>
        <c:crosses val="autoZero"/>
        <c:auto val="1"/>
        <c:lblAlgn val="ctr"/>
        <c:lblOffset val="100"/>
        <c:noMultiLvlLbl val="0"/>
      </c:catAx>
      <c:valAx>
        <c:axId val="1274592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274591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22411</xdr:colOff>
      <xdr:row>7</xdr:row>
      <xdr:rowOff>108481</xdr:rowOff>
    </xdr:from>
    <xdr:to>
      <xdr:col>14</xdr:col>
      <xdr:colOff>275165</xdr:colOff>
      <xdr:row>21</xdr:row>
      <xdr:rowOff>186316</xdr:rowOff>
    </xdr:to>
    <xdr:graphicFrame macro="">
      <xdr:nvGraphicFramePr>
        <xdr:cNvPr id="2" name="Chart 1">
          <a:extLst>
            <a:ext uri="{FF2B5EF4-FFF2-40B4-BE49-F238E27FC236}">
              <a16:creationId xmlns:a16="http://schemas.microsoft.com/office/drawing/2014/main" id="{E5404E46-85C2-4B6C-A7E8-A9500A65D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184311</xdr:rowOff>
    </xdr:from>
    <xdr:to>
      <xdr:col>14</xdr:col>
      <xdr:colOff>275166</xdr:colOff>
      <xdr:row>36</xdr:row>
      <xdr:rowOff>67308</xdr:rowOff>
    </xdr:to>
    <xdr:graphicFrame macro="">
      <xdr:nvGraphicFramePr>
        <xdr:cNvPr id="3" name="Chart 2">
          <a:extLst>
            <a:ext uri="{FF2B5EF4-FFF2-40B4-BE49-F238E27FC236}">
              <a16:creationId xmlns:a16="http://schemas.microsoft.com/office/drawing/2014/main" id="{BC375B12-BED3-4330-89B0-D229789C7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264585</xdr:colOff>
      <xdr:row>7</xdr:row>
      <xdr:rowOff>108930</xdr:rowOff>
    </xdr:from>
    <xdr:to>
      <xdr:col>27</xdr:col>
      <xdr:colOff>349252</xdr:colOff>
      <xdr:row>21</xdr:row>
      <xdr:rowOff>179145</xdr:rowOff>
    </xdr:to>
    <xdr:graphicFrame macro="">
      <xdr:nvGraphicFramePr>
        <xdr:cNvPr id="4" name="Chart 3">
          <a:extLst>
            <a:ext uri="{FF2B5EF4-FFF2-40B4-BE49-F238E27FC236}">
              <a16:creationId xmlns:a16="http://schemas.microsoft.com/office/drawing/2014/main" id="{B12B5FDE-91AD-4EC4-992C-A2A07647A4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266447</xdr:colOff>
      <xdr:row>21</xdr:row>
      <xdr:rowOff>175571</xdr:rowOff>
    </xdr:from>
    <xdr:to>
      <xdr:col>27</xdr:col>
      <xdr:colOff>349249</xdr:colOff>
      <xdr:row>36</xdr:row>
      <xdr:rowOff>57944</xdr:rowOff>
    </xdr:to>
    <xdr:graphicFrame macro="">
      <xdr:nvGraphicFramePr>
        <xdr:cNvPr id="5" name="Chart 4">
          <a:extLst>
            <a:ext uri="{FF2B5EF4-FFF2-40B4-BE49-F238E27FC236}">
              <a16:creationId xmlns:a16="http://schemas.microsoft.com/office/drawing/2014/main" id="{570E6227-6377-4840-9EA4-818759CC7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25</xdr:col>
      <xdr:colOff>413592</xdr:colOff>
      <xdr:row>0</xdr:row>
      <xdr:rowOff>0</xdr:rowOff>
    </xdr:from>
    <xdr:to>
      <xdr:col>27</xdr:col>
      <xdr:colOff>341923</xdr:colOff>
      <xdr:row>7</xdr:row>
      <xdr:rowOff>99935</xdr:rowOff>
    </xdr:to>
    <mc:AlternateContent xmlns:mc="http://schemas.openxmlformats.org/markup-compatibility/2006" xmlns:a14="http://schemas.microsoft.com/office/drawing/2010/main">
      <mc:Choice Requires="a14">
        <xdr:graphicFrame macro="">
          <xdr:nvGraphicFramePr>
            <xdr:cNvPr id="6" name="Month 1">
              <a:extLst>
                <a:ext uri="{FF2B5EF4-FFF2-40B4-BE49-F238E27FC236}">
                  <a16:creationId xmlns:a16="http://schemas.microsoft.com/office/drawing/2014/main" id="{CBBB5952-F5F0-8DF7-F473-A1F893184D4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5602106" y="0"/>
              <a:ext cx="1143412" cy="13973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10584</xdr:colOff>
      <xdr:row>0</xdr:row>
      <xdr:rowOff>1248</xdr:rowOff>
    </xdr:from>
    <xdr:ext cx="15541711" cy="1422817"/>
    <xdr:sp macro="" textlink="">
      <xdr:nvSpPr>
        <xdr:cNvPr id="8" name="Rectangle 7">
          <a:extLst>
            <a:ext uri="{FF2B5EF4-FFF2-40B4-BE49-F238E27FC236}">
              <a16:creationId xmlns:a16="http://schemas.microsoft.com/office/drawing/2014/main" id="{6E3098B8-4E0E-EDF4-04BB-8631D3556BC3}"/>
            </a:ext>
          </a:extLst>
        </xdr:cNvPr>
        <xdr:cNvSpPr/>
      </xdr:nvSpPr>
      <xdr:spPr>
        <a:xfrm>
          <a:off x="10584" y="1248"/>
          <a:ext cx="15541711" cy="1422817"/>
        </a:xfrm>
        <a:prstGeom prst="rect">
          <a:avLst/>
        </a:prstGeom>
        <a:solidFill>
          <a:schemeClr val="tx2">
            <a:lumMod val="50000"/>
            <a:lumOff val="50000"/>
          </a:schemeClr>
        </a:solidFill>
      </xdr:spPr>
      <xdr:txBody>
        <a:bodyPr wrap="square" lIns="91440" tIns="45720" rIns="91440" bIns="45720" anchor="ctr">
          <a:noAutofit/>
          <a:scene3d>
            <a:camera prst="orthographicFront"/>
            <a:lightRig rig="soft" dir="t">
              <a:rot lat="0" lon="0" rev="15600000"/>
            </a:lightRig>
          </a:scene3d>
          <a:sp3d extrusionH="57150" prstMaterial="softEdge">
            <a:bevelT w="25400" h="38100"/>
          </a:sp3d>
        </a:bodyPr>
        <a:lstStyle/>
        <a:p>
          <a:pPr algn="ctr"/>
          <a:r>
            <a:rPr lang="en-US" sz="5400" b="1" cap="none" spc="0">
              <a:ln/>
              <a:solidFill>
                <a:schemeClr val="accent5">
                  <a:lumMod val="75000"/>
                </a:schemeClr>
              </a:solidFill>
              <a:effectLst/>
            </a:rPr>
            <a:t>Business</a:t>
          </a:r>
          <a:r>
            <a:rPr lang="en-US" sz="5400" b="1" cap="none" spc="0" baseline="0">
              <a:ln/>
              <a:solidFill>
                <a:schemeClr val="accent5">
                  <a:lumMod val="75000"/>
                </a:schemeClr>
              </a:solidFill>
              <a:effectLst/>
            </a:rPr>
            <a:t> Data Analysis </a:t>
          </a:r>
          <a:endParaRPr lang="en-US" sz="5400" b="1" cap="none" spc="0">
            <a:ln/>
            <a:solidFill>
              <a:schemeClr val="accent5">
                <a:lumMod val="75000"/>
              </a:schemeClr>
            </a:solidFill>
            <a:effectLst/>
          </a:endParaRPr>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aposi%20howlader\Downloads\Business%20Dashboard.xlsx" TargetMode="External"/><Relationship Id="rId1" Type="http://schemas.openxmlformats.org/officeDocument/2006/relationships/externalLinkPath" Target="/Users/Taposi%20howlader/Downloads/Business%20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thly Sale Analysis"/>
      <sheetName val="Cost to Company"/>
    </sheetNames>
    <sheetDataSet>
      <sheetData sheetId="0"/>
      <sheetData sheetId="1">
        <row r="1">
          <cell r="B1" t="str">
            <v>Emp Id</v>
          </cell>
          <cell r="C1" t="str">
            <v>Emp Name</v>
          </cell>
          <cell r="D1" t="str">
            <v>Salary</v>
          </cell>
          <cell r="E1" t="str">
            <v>Infra and Support Cost</v>
          </cell>
          <cell r="F1" t="str">
            <v>Tax@2%</v>
          </cell>
          <cell r="G1" t="str">
            <v>Total Cost to Company</v>
          </cell>
        </row>
        <row r="2">
          <cell r="B2" t="str">
            <v>Abc-001</v>
          </cell>
          <cell r="C2" t="str">
            <v>Sneha Mitra</v>
          </cell>
          <cell r="D2">
            <v>22000</v>
          </cell>
          <cell r="E2">
            <v>6000</v>
          </cell>
          <cell r="F2">
            <v>560</v>
          </cell>
          <cell r="G2">
            <v>28560</v>
          </cell>
        </row>
        <row r="3">
          <cell r="B3" t="str">
            <v>Abc-002</v>
          </cell>
          <cell r="C3" t="str">
            <v>Harsh Sheth</v>
          </cell>
          <cell r="D3">
            <v>24000</v>
          </cell>
          <cell r="E3">
            <v>6000</v>
          </cell>
          <cell r="F3">
            <v>600</v>
          </cell>
          <cell r="G3">
            <v>30600</v>
          </cell>
        </row>
        <row r="4">
          <cell r="B4" t="str">
            <v>Abc-003</v>
          </cell>
          <cell r="C4" t="str">
            <v>Rounak Jain</v>
          </cell>
          <cell r="D4">
            <v>21000</v>
          </cell>
          <cell r="E4">
            <v>6000</v>
          </cell>
          <cell r="F4">
            <v>540</v>
          </cell>
          <cell r="G4">
            <v>27540</v>
          </cell>
        </row>
        <row r="5">
          <cell r="B5" t="str">
            <v>Abc-004</v>
          </cell>
          <cell r="C5" t="str">
            <v>Syed Hasan</v>
          </cell>
          <cell r="D5">
            <v>27000</v>
          </cell>
          <cell r="E5">
            <v>6000</v>
          </cell>
          <cell r="F5">
            <v>660</v>
          </cell>
          <cell r="G5">
            <v>33660</v>
          </cell>
        </row>
        <row r="6">
          <cell r="B6" t="str">
            <v>Abc-005</v>
          </cell>
          <cell r="C6" t="str">
            <v>Bisruta Sarkar</v>
          </cell>
          <cell r="D6">
            <v>26000</v>
          </cell>
          <cell r="E6">
            <v>6000</v>
          </cell>
          <cell r="F6">
            <v>640</v>
          </cell>
          <cell r="G6">
            <v>32640</v>
          </cell>
        </row>
        <row r="7">
          <cell r="B7" t="str">
            <v>Abc-006</v>
          </cell>
          <cell r="C7" t="str">
            <v>Nitesh Khatry</v>
          </cell>
          <cell r="D7">
            <v>20000</v>
          </cell>
          <cell r="E7">
            <v>6000</v>
          </cell>
          <cell r="F7">
            <v>520</v>
          </cell>
          <cell r="G7">
            <v>26520</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posi howlader" refreshedDate="45825.699942361112" createdVersion="8" refreshedVersion="8" minRefreshableVersion="3" recordCount="24" xr:uid="{85C5DE70-22C4-489B-88B4-39356A3913DF}">
  <cacheSource type="worksheet">
    <worksheetSource ref="A1:X25" sheet="Main Data"/>
  </cacheSource>
  <cacheFields count="24">
    <cacheField name="SL No." numFmtId="0">
      <sharedItems containsSemiMixedTypes="0" containsString="0" containsNumber="1" containsInteger="1" minValue="1" maxValue="24"/>
    </cacheField>
    <cacheField name="Month" numFmtId="0">
      <sharedItems count="4">
        <s v="January"/>
        <s v="February"/>
        <s v="March"/>
        <s v="April"/>
      </sharedItems>
    </cacheField>
    <cacheField name="Department" numFmtId="0">
      <sharedItems count="4">
        <s v="Mediclaim"/>
        <s v="Life Insurance"/>
        <s v="Car Insurance"/>
        <s v="Accident Insurance"/>
      </sharedItems>
    </cacheField>
    <cacheField name="Emp Id" numFmtId="0">
      <sharedItems/>
    </cacheField>
    <cacheField name="Emp Name" numFmtId="0">
      <sharedItems count="6">
        <s v="Sneha Mitra"/>
        <s v="Harsh Sheth"/>
        <s v="Rounak Jain"/>
        <s v="Syed Hasan"/>
        <s v="Bisruta Sarkar"/>
        <s v="Nitesh Khatry"/>
      </sharedItems>
    </cacheField>
    <cacheField name="Present Days" numFmtId="0">
      <sharedItems containsSemiMixedTypes="0" containsString="0" containsNumber="1" containsInteger="1" minValue="17" maxValue="23"/>
    </cacheField>
    <cacheField name="Target Present Days" numFmtId="0">
      <sharedItems containsSemiMixedTypes="0" containsString="0" containsNumber="1" containsInteger="1" minValue="18" maxValue="20"/>
    </cacheField>
    <cacheField name="Total Calls made" numFmtId="0">
      <sharedItems containsSemiMixedTypes="0" containsString="0" containsNumber="1" containsInteger="1" minValue="4233" maxValue="5676"/>
    </cacheField>
    <cacheField name="Monthly Connected Calls" numFmtId="1">
      <sharedItems containsSemiMixedTypes="0" containsString="0" containsNumber="1" minValue="1608.54" maxValue="2156.88"/>
    </cacheField>
    <cacheField name="Monthly Lead Count" numFmtId="0">
      <sharedItems containsSemiMixedTypes="0" containsString="0" containsNumber="1" containsInteger="1" minValue="689" maxValue="948"/>
    </cacheField>
    <cacheField name="Monthly Conversion Count" numFmtId="0">
      <sharedItems containsSemiMixedTypes="0" containsString="0" containsNumber="1" containsInteger="1" minValue="16" maxValue="63"/>
    </cacheField>
    <cacheField name="Monthly Productivity" numFmtId="9">
      <sharedItems containsSemiMixedTypes="0" containsString="0" containsNumber="1" minValue="0.37019632414369258" maxValue="0.49014468442021392"/>
    </cacheField>
    <cacheField name="Target sales per Day" numFmtId="0">
      <sharedItems containsSemiMixedTypes="0" containsString="0" containsNumber="1" containsInteger="1" minValue="1" maxValue="3"/>
    </cacheField>
    <cacheField name="Monthly Sale Target" numFmtId="0">
      <sharedItems containsSemiMixedTypes="0" containsString="0" containsNumber="1" containsInteger="1" minValue="18" maxValue="60"/>
    </cacheField>
    <cacheField name="Monthly Sales Count" numFmtId="0">
      <sharedItems containsSemiMixedTypes="0" containsString="0" containsNumber="1" containsInteger="1" minValue="16" maxValue="63"/>
    </cacheField>
    <cacheField name="Per Sale Revenue" numFmtId="0">
      <sharedItems containsSemiMixedTypes="0" containsString="0" containsNumber="1" containsInteger="1" minValue="1200" maxValue="2500"/>
    </cacheField>
    <cacheField name="Target Revenue" numFmtId="0">
      <sharedItems containsSemiMixedTypes="0" containsString="0" containsNumber="1" containsInteger="1" minValue="45000" maxValue="72000"/>
    </cacheField>
    <cacheField name="Revenue Earned" numFmtId="0">
      <sharedItems containsSemiMixedTypes="0" containsString="0" containsNumber="1" containsInteger="1" minValue="37500" maxValue="91800"/>
    </cacheField>
    <cacheField name="Target Achievement%" numFmtId="9">
      <sharedItems containsSemiMixedTypes="0" containsString="0" containsNumber="1" minValue="0.8" maxValue="0.9"/>
    </cacheField>
    <cacheField name="Sale Achievement%" numFmtId="9">
      <sharedItems containsSemiMixedTypes="0" containsString="0" containsNumber="1" minValue="0.625" maxValue="1.2749999999999999"/>
    </cacheField>
    <cacheField name="Cost to Company" numFmtId="0">
      <sharedItems containsSemiMixedTypes="0" containsString="0" containsNumber="1" containsInteger="1" minValue="26520" maxValue="33660"/>
    </cacheField>
    <cacheField name="Target Net Profit" numFmtId="0">
      <sharedItems containsSemiMixedTypes="0" containsString="0" containsNumber="1" containsInteger="1" minValue="17460" maxValue="45480"/>
    </cacheField>
    <cacheField name="Net Profit Earned" numFmtId="0">
      <sharedItems containsSemiMixedTypes="0" containsString="0" containsNumber="1" containsInteger="1" minValue="3840" maxValue="61200"/>
    </cacheField>
    <cacheField name="Profit Achievement%" numFmtId="9">
      <sharedItems containsSemiMixedTypes="0" containsString="0" containsNumber="1" minValue="0.14578587699316628" maxValue="1.5565449688334818"/>
    </cacheField>
  </cacheFields>
  <extLst>
    <ext xmlns:x14="http://schemas.microsoft.com/office/spreadsheetml/2009/9/main" uri="{725AE2AE-9491-48be-B2B4-4EB974FC3084}">
      <x14:pivotCacheDefinition pivotCacheId="19501287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n v="1"/>
    <x v="0"/>
    <x v="0"/>
    <s v="Abc-001"/>
    <x v="0"/>
    <n v="22"/>
    <n v="20"/>
    <n v="4816"/>
    <n v="1830.08"/>
    <n v="756"/>
    <n v="38"/>
    <n v="0.41309669522643822"/>
    <n v="2"/>
    <n v="40"/>
    <n v="38"/>
    <n v="1500"/>
    <n v="60000"/>
    <n v="57000"/>
    <n v="0.9"/>
    <n v="0.95"/>
    <n v="28560"/>
    <n v="31440"/>
    <n v="28440"/>
    <n v="0.90458015267175573"/>
  </r>
  <r>
    <n v="2"/>
    <x v="0"/>
    <x v="1"/>
    <s v="Abc-002"/>
    <x v="1"/>
    <n v="19"/>
    <n v="20"/>
    <n v="4712"/>
    <n v="1790.56"/>
    <n v="743"/>
    <n v="33"/>
    <n v="0.41495398087749086"/>
    <n v="2"/>
    <n v="40"/>
    <n v="33"/>
    <n v="1800"/>
    <n v="72000"/>
    <n v="59400"/>
    <n v="0.9"/>
    <n v="0.82499999999999996"/>
    <n v="30600"/>
    <n v="41400"/>
    <n v="28800"/>
    <n v="0.69565217391304346"/>
  </r>
  <r>
    <n v="3"/>
    <x v="0"/>
    <x v="2"/>
    <s v="Abc-003"/>
    <x v="2"/>
    <n v="20"/>
    <n v="20"/>
    <n v="4900"/>
    <n v="1862"/>
    <n v="782"/>
    <n v="23"/>
    <n v="0.41997851772287864"/>
    <n v="1"/>
    <n v="20"/>
    <n v="23"/>
    <n v="2500"/>
    <n v="50000"/>
    <n v="57500"/>
    <n v="0.8"/>
    <n v="1.1499999999999999"/>
    <n v="27540"/>
    <n v="22460"/>
    <n v="29960"/>
    <n v="1.3339269813000891"/>
  </r>
  <r>
    <n v="4"/>
    <x v="0"/>
    <x v="0"/>
    <s v="Abc-004"/>
    <x v="3"/>
    <n v="20"/>
    <n v="20"/>
    <n v="4940"/>
    <n v="1877.2"/>
    <n v="844"/>
    <n v="41"/>
    <n v="0.44960579586618366"/>
    <n v="2"/>
    <n v="40"/>
    <n v="41"/>
    <n v="1500"/>
    <n v="60000"/>
    <n v="61500"/>
    <n v="0.9"/>
    <n v="1.0249999999999999"/>
    <n v="33660"/>
    <n v="26340"/>
    <n v="27840"/>
    <n v="1.0569476082004556"/>
  </r>
  <r>
    <n v="5"/>
    <x v="0"/>
    <x v="1"/>
    <s v="Abc-005"/>
    <x v="4"/>
    <n v="17"/>
    <n v="20"/>
    <n v="4233"/>
    <n v="1608.54"/>
    <n v="707"/>
    <n v="39"/>
    <n v="0.43952901388837085"/>
    <n v="2"/>
    <n v="40"/>
    <n v="39"/>
    <n v="1800"/>
    <n v="72000"/>
    <n v="70200"/>
    <n v="0.9"/>
    <n v="0.97499999999999998"/>
    <n v="32640"/>
    <n v="39360"/>
    <n v="37560"/>
    <n v="0.95426829268292679"/>
  </r>
  <r>
    <n v="6"/>
    <x v="0"/>
    <x v="3"/>
    <s v="Abc-006"/>
    <x v="5"/>
    <n v="23"/>
    <n v="20"/>
    <n v="5612"/>
    <n v="2132.56"/>
    <n v="858"/>
    <n v="49"/>
    <n v="0.40233334583786623"/>
    <n v="3"/>
    <n v="60"/>
    <n v="49"/>
    <n v="1200"/>
    <n v="72000"/>
    <n v="58800"/>
    <n v="0.9"/>
    <n v="0.81666666666666665"/>
    <n v="26520"/>
    <n v="45480"/>
    <n v="32280"/>
    <n v="0.70976253298153036"/>
  </r>
  <r>
    <n v="7"/>
    <x v="1"/>
    <x v="0"/>
    <s v="Abc-001"/>
    <x v="0"/>
    <n v="18"/>
    <n v="18"/>
    <n v="4392"/>
    <n v="1668.96"/>
    <n v="768"/>
    <n v="39"/>
    <n v="0.46016681046879493"/>
    <n v="2"/>
    <n v="36"/>
    <n v="39"/>
    <n v="1500"/>
    <n v="54000"/>
    <n v="58500"/>
    <n v="0.9"/>
    <n v="1.0833333333333333"/>
    <n v="28560"/>
    <n v="25440"/>
    <n v="29940"/>
    <n v="1.1768867924528301"/>
  </r>
  <r>
    <n v="8"/>
    <x v="1"/>
    <x v="1"/>
    <s v="Abc-002"/>
    <x v="1"/>
    <n v="17"/>
    <n v="18"/>
    <n v="4242"/>
    <n v="1611.96"/>
    <n v="774"/>
    <n v="40"/>
    <n v="0.48016079803469069"/>
    <n v="2"/>
    <n v="36"/>
    <n v="40"/>
    <n v="1800"/>
    <n v="64800"/>
    <n v="72000"/>
    <n v="0.9"/>
    <n v="1.1111111111111112"/>
    <n v="30600"/>
    <n v="34200"/>
    <n v="41400"/>
    <n v="1.2105263157894737"/>
  </r>
  <r>
    <n v="9"/>
    <x v="1"/>
    <x v="2"/>
    <s v="Abc-003"/>
    <x v="2"/>
    <n v="19"/>
    <n v="18"/>
    <n v="4807"/>
    <n v="1826.66"/>
    <n v="854"/>
    <n v="20"/>
    <n v="0.46751995445238848"/>
    <n v="1"/>
    <n v="18"/>
    <n v="20"/>
    <n v="2500"/>
    <n v="45000"/>
    <n v="50000"/>
    <n v="0.8"/>
    <n v="1.1111111111111112"/>
    <n v="27540"/>
    <n v="17460"/>
    <n v="22460"/>
    <n v="1.2863688430698741"/>
  </r>
  <r>
    <n v="10"/>
    <x v="1"/>
    <x v="0"/>
    <s v="Abc-004"/>
    <x v="3"/>
    <n v="20"/>
    <n v="18"/>
    <n v="5020"/>
    <n v="1907.6"/>
    <n v="935"/>
    <n v="39"/>
    <n v="0.49014468442021392"/>
    <n v="2"/>
    <n v="36"/>
    <n v="39"/>
    <n v="1500"/>
    <n v="54000"/>
    <n v="58500"/>
    <n v="0.9"/>
    <n v="1.0833333333333333"/>
    <n v="33660"/>
    <n v="20340"/>
    <n v="24840"/>
    <n v="1.2212389380530972"/>
  </r>
  <r>
    <n v="11"/>
    <x v="1"/>
    <x v="1"/>
    <s v="Abc-005"/>
    <x v="4"/>
    <n v="20"/>
    <n v="18"/>
    <n v="5080"/>
    <n v="1930.4"/>
    <n v="752"/>
    <n v="49"/>
    <n v="0.38955656858682136"/>
    <n v="2"/>
    <n v="36"/>
    <n v="41"/>
    <n v="1800"/>
    <n v="64800"/>
    <n v="73800"/>
    <n v="0.9"/>
    <n v="1.1388888888888888"/>
    <n v="32640"/>
    <n v="32160"/>
    <n v="41160"/>
    <n v="1.2798507462686568"/>
  </r>
  <r>
    <n v="12"/>
    <x v="1"/>
    <x v="3"/>
    <s v="Abc-006"/>
    <x v="5"/>
    <n v="19"/>
    <n v="18"/>
    <n v="4579"/>
    <n v="1740.02"/>
    <n v="751"/>
    <n v="53"/>
    <n v="0.43160423443408696"/>
    <n v="3"/>
    <n v="54"/>
    <n v="53"/>
    <n v="1200"/>
    <n v="64800"/>
    <n v="63600"/>
    <n v="0.9"/>
    <n v="0.98148148148148151"/>
    <n v="26520"/>
    <n v="38280"/>
    <n v="37080"/>
    <n v="0.96865203761755481"/>
  </r>
  <r>
    <n v="13"/>
    <x v="2"/>
    <x v="0"/>
    <s v="Abc-001"/>
    <x v="0"/>
    <n v="22"/>
    <n v="20"/>
    <n v="5676"/>
    <n v="2156.88"/>
    <n v="938"/>
    <n v="49"/>
    <n v="0.43488742999146912"/>
    <n v="2"/>
    <n v="40"/>
    <n v="49"/>
    <n v="1500"/>
    <n v="60000"/>
    <n v="73500"/>
    <n v="0.9"/>
    <n v="1.2250000000000001"/>
    <n v="28560"/>
    <n v="31440"/>
    <n v="44940"/>
    <n v="1.4293893129770991"/>
  </r>
  <r>
    <n v="14"/>
    <x v="2"/>
    <x v="1"/>
    <s v="Abc-002"/>
    <x v="1"/>
    <n v="21"/>
    <n v="20"/>
    <n v="5250"/>
    <n v="1995"/>
    <n v="948"/>
    <n v="51"/>
    <n v="0.47518796992481205"/>
    <n v="2"/>
    <n v="40"/>
    <n v="51"/>
    <n v="1800"/>
    <n v="72000"/>
    <n v="91800"/>
    <n v="0.9"/>
    <n v="1.2749999999999999"/>
    <n v="30600"/>
    <n v="41400"/>
    <n v="61200"/>
    <n v="1.4782608695652173"/>
  </r>
  <r>
    <n v="15"/>
    <x v="2"/>
    <x v="2"/>
    <s v="Abc-003"/>
    <x v="2"/>
    <n v="20"/>
    <n v="20"/>
    <n v="5120"/>
    <n v="1945.6"/>
    <n v="895"/>
    <n v="25"/>
    <n v="0.46001233552631582"/>
    <n v="1"/>
    <n v="20"/>
    <n v="25"/>
    <n v="2500"/>
    <n v="50000"/>
    <n v="62500"/>
    <n v="0.8"/>
    <n v="1.25"/>
    <n v="27540"/>
    <n v="22460"/>
    <n v="34960"/>
    <n v="1.5565449688334818"/>
  </r>
  <r>
    <n v="16"/>
    <x v="2"/>
    <x v="0"/>
    <s v="Abc-004"/>
    <x v="3"/>
    <n v="20"/>
    <n v="20"/>
    <n v="5040"/>
    <n v="1915.2"/>
    <n v="709"/>
    <n v="25"/>
    <n v="0.37019632414369258"/>
    <n v="2"/>
    <n v="40"/>
    <n v="25"/>
    <n v="1500"/>
    <n v="60000"/>
    <n v="37500"/>
    <n v="0.9"/>
    <n v="0.625"/>
    <n v="33660"/>
    <n v="26340"/>
    <n v="3840"/>
    <n v="0.14578587699316628"/>
  </r>
  <r>
    <n v="17"/>
    <x v="2"/>
    <x v="1"/>
    <s v="Abc-005"/>
    <x v="4"/>
    <n v="19"/>
    <n v="20"/>
    <n v="4769"/>
    <n v="1812.22"/>
    <n v="689"/>
    <n v="26"/>
    <n v="0.38019666486408932"/>
    <n v="2"/>
    <n v="40"/>
    <n v="26"/>
    <n v="1800"/>
    <n v="72000"/>
    <n v="46800"/>
    <n v="0.9"/>
    <n v="0.65"/>
    <n v="32640"/>
    <n v="39360"/>
    <n v="14160"/>
    <n v="0.3597560975609756"/>
  </r>
  <r>
    <n v="18"/>
    <x v="2"/>
    <x v="3"/>
    <s v="Abc-006"/>
    <x v="5"/>
    <n v="22"/>
    <n v="20"/>
    <n v="5500"/>
    <n v="2090"/>
    <n v="784"/>
    <n v="63"/>
    <n v="0.37511961722488041"/>
    <n v="3"/>
    <n v="60"/>
    <n v="63"/>
    <n v="1200"/>
    <n v="72000"/>
    <n v="75600"/>
    <n v="0.9"/>
    <n v="1.05"/>
    <n v="26520"/>
    <n v="45480"/>
    <n v="49080"/>
    <n v="1.079155672823219"/>
  </r>
  <r>
    <n v="19"/>
    <x v="3"/>
    <x v="0"/>
    <s v="Abc-001"/>
    <x v="0"/>
    <n v="19"/>
    <n v="19"/>
    <n v="4731"/>
    <n v="1797.78"/>
    <n v="701"/>
    <n v="33"/>
    <n v="0.3899253523790453"/>
    <n v="2"/>
    <n v="38"/>
    <n v="36"/>
    <n v="1500"/>
    <n v="57000"/>
    <n v="54000"/>
    <n v="0.9"/>
    <n v="0.94736842105263153"/>
    <n v="28560"/>
    <n v="28440"/>
    <n v="25440"/>
    <n v="0.89451476793248941"/>
  </r>
  <r>
    <n v="20"/>
    <x v="3"/>
    <x v="1"/>
    <s v="Abc-002"/>
    <x v="1"/>
    <n v="19"/>
    <n v="19"/>
    <n v="4845"/>
    <n v="1841.1"/>
    <n v="736"/>
    <n v="33"/>
    <n v="0.39976101243821632"/>
    <n v="2"/>
    <n v="38"/>
    <n v="33"/>
    <n v="1800"/>
    <n v="68400"/>
    <n v="59400"/>
    <n v="0.9"/>
    <n v="0.86842105263157898"/>
    <n v="30600"/>
    <n v="37800"/>
    <n v="28800"/>
    <n v="0.76190476190476186"/>
  </r>
  <r>
    <n v="21"/>
    <x v="3"/>
    <x v="2"/>
    <s v="Abc-003"/>
    <x v="2"/>
    <n v="18"/>
    <n v="19"/>
    <n v="4464"/>
    <n v="1696.32"/>
    <n v="746"/>
    <n v="16"/>
    <n v="0.4397755140539521"/>
    <n v="1"/>
    <n v="19"/>
    <n v="16"/>
    <n v="2500"/>
    <n v="47500"/>
    <n v="40000"/>
    <n v="0.8"/>
    <n v="0.84210526315789469"/>
    <n v="27540"/>
    <n v="19960"/>
    <n v="12460"/>
    <n v="0.62424849699398799"/>
  </r>
  <r>
    <n v="22"/>
    <x v="3"/>
    <x v="0"/>
    <s v="Abc-004"/>
    <x v="3"/>
    <n v="20"/>
    <n v="19"/>
    <n v="5060"/>
    <n v="1922.8"/>
    <n v="865"/>
    <n v="31"/>
    <n v="0.44986478052839612"/>
    <n v="2"/>
    <n v="38"/>
    <n v="31"/>
    <n v="1500"/>
    <n v="57000"/>
    <n v="46500"/>
    <n v="0.9"/>
    <n v="0.81578947368421051"/>
    <n v="33660"/>
    <n v="23340"/>
    <n v="12840"/>
    <n v="0.55012853470437018"/>
  </r>
  <r>
    <n v="23"/>
    <x v="3"/>
    <x v="1"/>
    <s v="Abc-005"/>
    <x v="4"/>
    <n v="20"/>
    <n v="19"/>
    <n v="5100"/>
    <n v="1938"/>
    <n v="853"/>
    <n v="43"/>
    <n v="0.44014447884416924"/>
    <n v="2"/>
    <n v="38"/>
    <n v="43"/>
    <n v="1800"/>
    <n v="68400"/>
    <n v="77400"/>
    <n v="0.9"/>
    <n v="1.131578947368421"/>
    <n v="32640"/>
    <n v="35760"/>
    <n v="44760"/>
    <n v="1.2516778523489933"/>
  </r>
  <r>
    <n v="24"/>
    <x v="3"/>
    <x v="3"/>
    <s v="Abc-006"/>
    <x v="5"/>
    <n v="21"/>
    <n v="19"/>
    <n v="5418"/>
    <n v="2058.84"/>
    <n v="947"/>
    <n v="62"/>
    <n v="0.45996774882943792"/>
    <n v="3"/>
    <n v="57"/>
    <n v="62"/>
    <n v="1200"/>
    <n v="68400"/>
    <n v="74400"/>
    <n v="0.9"/>
    <n v="1.0877192982456141"/>
    <n v="26520"/>
    <n v="41880"/>
    <n v="47880"/>
    <n v="1.14326647564469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9ED36D-97F0-4A54-90F9-7C15B203407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E5" firstHeaderRow="1" firstDataRow="1" firstDataCol="1"/>
  <pivotFields count="24">
    <pivotField showAll="0"/>
    <pivotField axis="axisRow" showAll="0">
      <items count="5">
        <item x="0"/>
        <item h="1" x="1"/>
        <item h="1" x="2"/>
        <item h="1" x="3"/>
        <item t="default"/>
      </items>
    </pivotField>
    <pivotField showAll="0"/>
    <pivotField showAll="0"/>
    <pivotField showAll="0"/>
    <pivotField showAll="0"/>
    <pivotField showAll="0"/>
    <pivotField showAll="0"/>
    <pivotField numFmtId="1" showAll="0"/>
    <pivotField showAll="0"/>
    <pivotField showAll="0"/>
    <pivotField numFmtId="9" showAll="0"/>
    <pivotField showAll="0"/>
    <pivotField showAll="0"/>
    <pivotField showAll="0"/>
    <pivotField showAll="0"/>
    <pivotField showAll="0"/>
    <pivotField showAll="0"/>
    <pivotField numFmtId="9" showAll="0"/>
    <pivotField numFmtId="9" showAll="0"/>
    <pivotField showAll="0"/>
    <pivotField showAll="0"/>
    <pivotField dataField="1" showAll="0"/>
    <pivotField numFmtId="9" showAll="0"/>
  </pivotFields>
  <rowFields count="1">
    <field x="1"/>
  </rowFields>
  <rowItems count="2">
    <i>
      <x/>
    </i>
    <i t="grand">
      <x/>
    </i>
  </rowItems>
  <colItems count="1">
    <i/>
  </colItems>
  <dataFields count="1">
    <dataField name="Sum of Net Profit Earned" fld="22"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4B46F6-655A-42FC-A9D1-948FF5EB4EF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Depertment ">
  <location ref="A3:B8" firstHeaderRow="1" firstDataRow="1" firstDataCol="1"/>
  <pivotFields count="24">
    <pivotField showAll="0"/>
    <pivotField showAll="0">
      <items count="5">
        <item x="0"/>
        <item h="1" x="1"/>
        <item h="1" x="2"/>
        <item h="1" x="3"/>
        <item t="default"/>
      </items>
    </pivotField>
    <pivotField axis="axisRow" showAll="0">
      <items count="5">
        <item x="3"/>
        <item x="2"/>
        <item x="1"/>
        <item x="0"/>
        <item t="default"/>
      </items>
    </pivotField>
    <pivotField showAll="0"/>
    <pivotField showAll="0"/>
    <pivotField showAll="0"/>
    <pivotField showAll="0"/>
    <pivotField showAll="0"/>
    <pivotField numFmtId="1" showAll="0"/>
    <pivotField showAll="0"/>
    <pivotField showAll="0"/>
    <pivotField numFmtId="9" showAll="0"/>
    <pivotField showAll="0"/>
    <pivotField showAll="0"/>
    <pivotField showAll="0"/>
    <pivotField showAll="0"/>
    <pivotField showAll="0"/>
    <pivotField dataField="1" showAll="0"/>
    <pivotField numFmtId="9" showAll="0"/>
    <pivotField numFmtId="9" showAll="0"/>
    <pivotField showAll="0"/>
    <pivotField showAll="0"/>
    <pivotField showAll="0"/>
    <pivotField numFmtId="9" showAll="0"/>
  </pivotFields>
  <rowFields count="1">
    <field x="2"/>
  </rowFields>
  <rowItems count="5">
    <i>
      <x/>
    </i>
    <i>
      <x v="1"/>
    </i>
    <i>
      <x v="2"/>
    </i>
    <i>
      <x v="3"/>
    </i>
    <i t="grand">
      <x/>
    </i>
  </rowItems>
  <colItems count="1">
    <i/>
  </colItems>
  <dataFields count="1">
    <dataField name="Revenue_Earned" fld="17" baseField="0" baseItem="0"/>
  </dataFields>
  <chartFormats count="2">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1A7061-B8E8-4CD3-BC15-18C2F6EF29B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epartment ">
  <location ref="J4:K9" firstHeaderRow="1" firstDataRow="1" firstDataCol="1"/>
  <pivotFields count="24">
    <pivotField showAll="0"/>
    <pivotField showAll="0">
      <items count="5">
        <item x="0"/>
        <item h="1" x="1"/>
        <item h="1" x="2"/>
        <item h="1" x="3"/>
        <item t="default"/>
      </items>
    </pivotField>
    <pivotField axis="axisRow" showAll="0">
      <items count="5">
        <item x="3"/>
        <item x="2"/>
        <item x="1"/>
        <item x="0"/>
        <item t="default"/>
      </items>
    </pivotField>
    <pivotField showAll="0"/>
    <pivotField showAll="0"/>
    <pivotField showAll="0"/>
    <pivotField showAll="0"/>
    <pivotField showAll="0"/>
    <pivotField numFmtId="1" showAll="0"/>
    <pivotField showAll="0"/>
    <pivotField showAll="0"/>
    <pivotField numFmtId="9" showAll="0"/>
    <pivotField showAll="0"/>
    <pivotField showAll="0"/>
    <pivotField showAll="0"/>
    <pivotField showAll="0"/>
    <pivotField showAll="0"/>
    <pivotField showAll="0"/>
    <pivotField numFmtId="9" showAll="0"/>
    <pivotField numFmtId="9" showAll="0"/>
    <pivotField showAll="0"/>
    <pivotField showAll="0"/>
    <pivotField dataField="1" showAll="0"/>
    <pivotField numFmtId="9" showAll="0"/>
  </pivotFields>
  <rowFields count="1">
    <field x="2"/>
  </rowFields>
  <rowItems count="5">
    <i>
      <x/>
    </i>
    <i>
      <x v="1"/>
    </i>
    <i>
      <x v="2"/>
    </i>
    <i>
      <x v="3"/>
    </i>
    <i t="grand">
      <x/>
    </i>
  </rowItems>
  <colItems count="1">
    <i/>
  </colItems>
  <dataFields count="1">
    <dataField name="Net_Profit" fld="22"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74AE06-8973-4C8F-8A6F-184CB2D6B16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Employee Name ">
  <location ref="G4:H11" firstHeaderRow="1" firstDataRow="1" firstDataCol="1"/>
  <pivotFields count="24">
    <pivotField showAll="0"/>
    <pivotField showAll="0">
      <items count="5">
        <item x="0"/>
        <item h="1" x="1"/>
        <item h="1" x="2"/>
        <item h="1" x="3"/>
        <item t="default"/>
      </items>
    </pivotField>
    <pivotField showAll="0"/>
    <pivotField showAll="0"/>
    <pivotField axis="axisRow" showAll="0">
      <items count="7">
        <item x="4"/>
        <item x="1"/>
        <item x="5"/>
        <item x="2"/>
        <item x="0"/>
        <item x="3"/>
        <item t="default"/>
      </items>
    </pivotField>
    <pivotField showAll="0"/>
    <pivotField showAll="0"/>
    <pivotField showAll="0"/>
    <pivotField numFmtId="1" showAll="0"/>
    <pivotField showAll="0"/>
    <pivotField showAll="0"/>
    <pivotField numFmtId="9" showAll="0"/>
    <pivotField showAll="0"/>
    <pivotField showAll="0"/>
    <pivotField dataField="1" showAll="0"/>
    <pivotField showAll="0"/>
    <pivotField showAll="0"/>
    <pivotField showAll="0"/>
    <pivotField numFmtId="9" showAll="0"/>
    <pivotField numFmtId="9" showAll="0"/>
    <pivotField showAll="0"/>
    <pivotField showAll="0"/>
    <pivotField showAll="0"/>
    <pivotField numFmtId="9" showAll="0"/>
  </pivotFields>
  <rowFields count="1">
    <field x="4"/>
  </rowFields>
  <rowItems count="7">
    <i>
      <x/>
    </i>
    <i>
      <x v="1"/>
    </i>
    <i>
      <x v="2"/>
    </i>
    <i>
      <x v="3"/>
    </i>
    <i>
      <x v="4"/>
    </i>
    <i>
      <x v="5"/>
    </i>
    <i t="grand">
      <x/>
    </i>
  </rowItems>
  <colItems count="1">
    <i/>
  </colItems>
  <dataFields count="1">
    <dataField name="Average of Monthly Productivity" fld="14" subtotal="average" baseField="4"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8D64A49C-28B7-402A-80D2-56E88D998E59}" sourceName="Month">
  <pivotTables>
    <pivotTable tabId="2" name="PivotTable4"/>
    <pivotTable tabId="2" name="PivotTable6"/>
    <pivotTable tabId="2" name="PivotTable7"/>
    <pivotTable tabId="2" name="PivotTable8"/>
  </pivotTables>
  <data>
    <tabular pivotCacheId="1950128767">
      <items count="4">
        <i x="0" s="1"/>
        <i x="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0C45428E-A6CB-4CD7-90C5-7C528DE03C20}" cache="Slicer_Month1" caption="Month"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59D74-A893-4085-8EE8-A29A10C0011D}">
  <dimension ref="A1:X25"/>
  <sheetViews>
    <sheetView workbookViewId="0">
      <selection activeCell="G8" sqref="G8"/>
    </sheetView>
  </sheetViews>
  <sheetFormatPr defaultRowHeight="14.4" x14ac:dyDescent="0.3"/>
  <cols>
    <col min="1" max="1" width="6.21875" bestFit="1" customWidth="1"/>
    <col min="2" max="2" width="8.109375" bestFit="1" customWidth="1"/>
    <col min="3" max="3" width="16.5546875" bestFit="1" customWidth="1"/>
    <col min="4" max="4" width="7.77734375" bestFit="1" customWidth="1"/>
    <col min="5" max="5" width="12.21875" bestFit="1" customWidth="1"/>
    <col min="6" max="6" width="11.6640625" bestFit="1" customWidth="1"/>
    <col min="7" max="7" width="17.33203125" bestFit="1" customWidth="1"/>
    <col min="8" max="8" width="14.88671875" bestFit="1" customWidth="1"/>
    <col min="9" max="9" width="21.77734375" bestFit="1" customWidth="1"/>
    <col min="10" max="10" width="17.33203125" bestFit="1" customWidth="1"/>
    <col min="11" max="11" width="22.6640625" bestFit="1" customWidth="1"/>
    <col min="12" max="12" width="18.21875" bestFit="1" customWidth="1"/>
    <col min="13" max="13" width="17.5546875" bestFit="1" customWidth="1"/>
    <col min="14" max="14" width="17.21875" bestFit="1" customWidth="1"/>
    <col min="15" max="15" width="17.88671875" bestFit="1" customWidth="1"/>
    <col min="16" max="16" width="15.21875" bestFit="1" customWidth="1"/>
    <col min="17" max="17" width="13.5546875" bestFit="1" customWidth="1"/>
    <col min="18" max="18" width="14.21875" bestFit="1" customWidth="1"/>
    <col min="19" max="19" width="19.109375" bestFit="1" customWidth="1"/>
    <col min="20" max="20" width="17.6640625" bestFit="1" customWidth="1"/>
    <col min="21" max="21" width="15.109375" bestFit="1" customWidth="1"/>
    <col min="22" max="22" width="14.44140625" bestFit="1" customWidth="1"/>
    <col min="23" max="23" width="15.109375" bestFit="1" customWidth="1"/>
    <col min="24" max="24" width="18.5546875" bestFit="1" customWidth="1"/>
  </cols>
  <sheetData>
    <row r="1" spans="1:2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
      <c r="A2" s="2">
        <v>1</v>
      </c>
      <c r="B2" s="2" t="s">
        <v>24</v>
      </c>
      <c r="C2" s="2" t="s">
        <v>25</v>
      </c>
      <c r="D2" s="2" t="s">
        <v>26</v>
      </c>
      <c r="E2" s="2" t="s">
        <v>27</v>
      </c>
      <c r="F2" s="2">
        <v>22</v>
      </c>
      <c r="G2" s="2">
        <v>20</v>
      </c>
      <c r="H2" s="2">
        <v>4816</v>
      </c>
      <c r="I2" s="3">
        <f>38%*H2</f>
        <v>1830.08</v>
      </c>
      <c r="J2" s="2">
        <v>756</v>
      </c>
      <c r="K2" s="2">
        <v>38</v>
      </c>
      <c r="L2" s="4">
        <f>J2/I2</f>
        <v>0.41309669522643822</v>
      </c>
      <c r="M2" s="2">
        <f>IF(C2="Mediclaim",2,IF(C2="Life Insurance",2,IF(C2="Car Insurance",1,IF(C2="Accident Insurance",3,0))))</f>
        <v>2</v>
      </c>
      <c r="N2" s="2">
        <f>M2*G2</f>
        <v>40</v>
      </c>
      <c r="O2" s="2">
        <f>K2</f>
        <v>38</v>
      </c>
      <c r="P2" s="2">
        <f>IF(C2="Mediclaim",1500,IF(C2="Life Insurance",1800,IF(C2="Car Insurance",2500,IF(C2="Accident Insurance",1200,0))))</f>
        <v>1500</v>
      </c>
      <c r="Q2" s="2">
        <f>N2*P2</f>
        <v>60000</v>
      </c>
      <c r="R2" s="2">
        <f>O2*P2</f>
        <v>57000</v>
      </c>
      <c r="S2" s="5">
        <f>IF(C2="Mediclaim",90%,IF(C2="Life Insurance",90%,IF(C2="Car Insurance",80%,IF(C2="Accident Insurance",90%,0%))))</f>
        <v>0.9</v>
      </c>
      <c r="T2" s="4">
        <f>R2/Q2</f>
        <v>0.95</v>
      </c>
      <c r="U2" s="2">
        <f>VLOOKUP(D2,'[1]Cost to Company'!B:G,6,0)</f>
        <v>28560</v>
      </c>
      <c r="V2" s="2">
        <f>Q2-U2</f>
        <v>31440</v>
      </c>
      <c r="W2" s="2">
        <f>R2-U2</f>
        <v>28440</v>
      </c>
      <c r="X2" s="4">
        <f>W2/V2</f>
        <v>0.90458015267175573</v>
      </c>
    </row>
    <row r="3" spans="1:24" x14ac:dyDescent="0.3">
      <c r="A3" s="2">
        <v>2</v>
      </c>
      <c r="B3" s="2" t="s">
        <v>24</v>
      </c>
      <c r="C3" s="2" t="s">
        <v>28</v>
      </c>
      <c r="D3" s="2" t="s">
        <v>29</v>
      </c>
      <c r="E3" s="2" t="s">
        <v>30</v>
      </c>
      <c r="F3" s="2">
        <v>19</v>
      </c>
      <c r="G3" s="2">
        <v>20</v>
      </c>
      <c r="H3" s="2">
        <v>4712</v>
      </c>
      <c r="I3" s="3">
        <f t="shared" ref="I3:I25" si="0">38%*H3</f>
        <v>1790.56</v>
      </c>
      <c r="J3" s="2">
        <v>743</v>
      </c>
      <c r="K3" s="3">
        <v>33</v>
      </c>
      <c r="L3" s="4">
        <f t="shared" ref="L3:L25" si="1">J3/I3</f>
        <v>0.41495398087749086</v>
      </c>
      <c r="M3" s="2">
        <f t="shared" ref="M3:M25" si="2">IF(C3="Mediclaim",2,IF(C3="Life Insurance",2,IF(C3="Car Insurance",1,IF(C3="Accident Insurance",3,0))))</f>
        <v>2</v>
      </c>
      <c r="N3" s="2">
        <f t="shared" ref="N3:N25" si="3">M3*G3</f>
        <v>40</v>
      </c>
      <c r="O3" s="2">
        <f t="shared" ref="O3:O25" si="4">K3</f>
        <v>33</v>
      </c>
      <c r="P3" s="2">
        <f t="shared" ref="P3:P25" si="5">IF(C3="Mediclaim",1500,IF(C3="Life Insurance",1800,IF(C3="Car Insurance",2500,IF(C3="Accident Insurance",1200,0))))</f>
        <v>1800</v>
      </c>
      <c r="Q3" s="2">
        <f t="shared" ref="Q3:Q25" si="6">N3*P3</f>
        <v>72000</v>
      </c>
      <c r="R3" s="2">
        <f t="shared" ref="R3:R25" si="7">O3*P3</f>
        <v>59400</v>
      </c>
      <c r="S3" s="5">
        <f t="shared" ref="S3:S25" si="8">IF(C3="Mediclaim",90%,IF(C3="Life Insurance",90%,IF(C3="Car Insurance",80%,IF(C3="Accident Insurance",90%,0%))))</f>
        <v>0.9</v>
      </c>
      <c r="T3" s="4">
        <f t="shared" ref="T3:T25" si="9">R3/Q3</f>
        <v>0.82499999999999996</v>
      </c>
      <c r="U3" s="2">
        <f>VLOOKUP(D3,'[1]Cost to Company'!B:G,6,0)</f>
        <v>30600</v>
      </c>
      <c r="V3" s="2">
        <f t="shared" ref="V3:V25" si="10">Q3-U3</f>
        <v>41400</v>
      </c>
      <c r="W3" s="2">
        <f t="shared" ref="W3:W25" si="11">R3-U3</f>
        <v>28800</v>
      </c>
      <c r="X3" s="4">
        <f t="shared" ref="X3:X25" si="12">W3/V3</f>
        <v>0.69565217391304346</v>
      </c>
    </row>
    <row r="4" spans="1:24" x14ac:dyDescent="0.3">
      <c r="A4" s="2">
        <v>3</v>
      </c>
      <c r="B4" s="2" t="s">
        <v>24</v>
      </c>
      <c r="C4" s="2" t="s">
        <v>31</v>
      </c>
      <c r="D4" s="2" t="s">
        <v>32</v>
      </c>
      <c r="E4" s="2" t="s">
        <v>33</v>
      </c>
      <c r="F4" s="2">
        <v>20</v>
      </c>
      <c r="G4" s="2">
        <v>20</v>
      </c>
      <c r="H4" s="2">
        <v>4900</v>
      </c>
      <c r="I4" s="3">
        <f t="shared" si="0"/>
        <v>1862</v>
      </c>
      <c r="J4" s="2">
        <v>782</v>
      </c>
      <c r="K4" s="3">
        <v>23</v>
      </c>
      <c r="L4" s="4">
        <f t="shared" si="1"/>
        <v>0.41997851772287864</v>
      </c>
      <c r="M4" s="2">
        <f t="shared" si="2"/>
        <v>1</v>
      </c>
      <c r="N4" s="2">
        <f t="shared" si="3"/>
        <v>20</v>
      </c>
      <c r="O4" s="2">
        <f t="shared" si="4"/>
        <v>23</v>
      </c>
      <c r="P4" s="2">
        <f t="shared" si="5"/>
        <v>2500</v>
      </c>
      <c r="Q4" s="2">
        <f t="shared" si="6"/>
        <v>50000</v>
      </c>
      <c r="R4" s="2">
        <f t="shared" si="7"/>
        <v>57500</v>
      </c>
      <c r="S4" s="5">
        <f t="shared" si="8"/>
        <v>0.8</v>
      </c>
      <c r="T4" s="4">
        <f t="shared" si="9"/>
        <v>1.1499999999999999</v>
      </c>
      <c r="U4" s="2">
        <f>VLOOKUP(D4,'[1]Cost to Company'!B:G,6,0)</f>
        <v>27540</v>
      </c>
      <c r="V4" s="2">
        <f t="shared" si="10"/>
        <v>22460</v>
      </c>
      <c r="W4" s="2">
        <f t="shared" si="11"/>
        <v>29960</v>
      </c>
      <c r="X4" s="4">
        <f t="shared" si="12"/>
        <v>1.3339269813000891</v>
      </c>
    </row>
    <row r="5" spans="1:24" x14ac:dyDescent="0.3">
      <c r="A5" s="2">
        <v>4</v>
      </c>
      <c r="B5" s="2" t="s">
        <v>24</v>
      </c>
      <c r="C5" s="2" t="s">
        <v>25</v>
      </c>
      <c r="D5" s="2" t="s">
        <v>34</v>
      </c>
      <c r="E5" s="2" t="s">
        <v>35</v>
      </c>
      <c r="F5" s="2">
        <v>20</v>
      </c>
      <c r="G5" s="2">
        <v>20</v>
      </c>
      <c r="H5" s="2">
        <v>4940</v>
      </c>
      <c r="I5" s="3">
        <f t="shared" si="0"/>
        <v>1877.2</v>
      </c>
      <c r="J5" s="2">
        <v>844</v>
      </c>
      <c r="K5" s="3">
        <v>41</v>
      </c>
      <c r="L5" s="4">
        <f t="shared" si="1"/>
        <v>0.44960579586618366</v>
      </c>
      <c r="M5" s="2">
        <f t="shared" si="2"/>
        <v>2</v>
      </c>
      <c r="N5" s="2">
        <f t="shared" si="3"/>
        <v>40</v>
      </c>
      <c r="O5" s="2">
        <f t="shared" si="4"/>
        <v>41</v>
      </c>
      <c r="P5" s="2">
        <f t="shared" si="5"/>
        <v>1500</v>
      </c>
      <c r="Q5" s="2">
        <f t="shared" si="6"/>
        <v>60000</v>
      </c>
      <c r="R5" s="2">
        <f t="shared" si="7"/>
        <v>61500</v>
      </c>
      <c r="S5" s="5">
        <f t="shared" si="8"/>
        <v>0.9</v>
      </c>
      <c r="T5" s="4">
        <f t="shared" si="9"/>
        <v>1.0249999999999999</v>
      </c>
      <c r="U5" s="2">
        <f>VLOOKUP(D5,'[1]Cost to Company'!B:G,6,0)</f>
        <v>33660</v>
      </c>
      <c r="V5" s="2">
        <f t="shared" si="10"/>
        <v>26340</v>
      </c>
      <c r="W5" s="2">
        <f t="shared" si="11"/>
        <v>27840</v>
      </c>
      <c r="X5" s="4">
        <f t="shared" si="12"/>
        <v>1.0569476082004556</v>
      </c>
    </row>
    <row r="6" spans="1:24" x14ac:dyDescent="0.3">
      <c r="A6" s="2">
        <v>5</v>
      </c>
      <c r="B6" s="2" t="s">
        <v>24</v>
      </c>
      <c r="C6" s="2" t="s">
        <v>28</v>
      </c>
      <c r="D6" s="2" t="s">
        <v>36</v>
      </c>
      <c r="E6" s="2" t="s">
        <v>37</v>
      </c>
      <c r="F6" s="2">
        <v>17</v>
      </c>
      <c r="G6" s="2">
        <v>20</v>
      </c>
      <c r="H6" s="2">
        <v>4233</v>
      </c>
      <c r="I6" s="3">
        <f t="shared" si="0"/>
        <v>1608.54</v>
      </c>
      <c r="J6" s="2">
        <v>707</v>
      </c>
      <c r="K6" s="3">
        <v>39</v>
      </c>
      <c r="L6" s="4">
        <f t="shared" si="1"/>
        <v>0.43952901388837085</v>
      </c>
      <c r="M6" s="2">
        <f t="shared" si="2"/>
        <v>2</v>
      </c>
      <c r="N6" s="2">
        <f t="shared" si="3"/>
        <v>40</v>
      </c>
      <c r="O6" s="2">
        <f t="shared" si="4"/>
        <v>39</v>
      </c>
      <c r="P6" s="2">
        <f t="shared" si="5"/>
        <v>1800</v>
      </c>
      <c r="Q6" s="2">
        <f t="shared" si="6"/>
        <v>72000</v>
      </c>
      <c r="R6" s="2">
        <f t="shared" si="7"/>
        <v>70200</v>
      </c>
      <c r="S6" s="5">
        <f t="shared" si="8"/>
        <v>0.9</v>
      </c>
      <c r="T6" s="4">
        <f t="shared" si="9"/>
        <v>0.97499999999999998</v>
      </c>
      <c r="U6" s="2">
        <f>VLOOKUP(D6,'[1]Cost to Company'!B:G,6,0)</f>
        <v>32640</v>
      </c>
      <c r="V6" s="2">
        <f t="shared" si="10"/>
        <v>39360</v>
      </c>
      <c r="W6" s="2">
        <f t="shared" si="11"/>
        <v>37560</v>
      </c>
      <c r="X6" s="4">
        <f t="shared" si="12"/>
        <v>0.95426829268292679</v>
      </c>
    </row>
    <row r="7" spans="1:24" x14ac:dyDescent="0.3">
      <c r="A7" s="2">
        <v>6</v>
      </c>
      <c r="B7" s="2" t="s">
        <v>24</v>
      </c>
      <c r="C7" s="2" t="s">
        <v>38</v>
      </c>
      <c r="D7" s="2" t="s">
        <v>39</v>
      </c>
      <c r="E7" s="2" t="s">
        <v>40</v>
      </c>
      <c r="F7" s="2">
        <v>23</v>
      </c>
      <c r="G7" s="2">
        <v>20</v>
      </c>
      <c r="H7" s="2">
        <v>5612</v>
      </c>
      <c r="I7" s="3">
        <f t="shared" si="0"/>
        <v>2132.56</v>
      </c>
      <c r="J7" s="3">
        <v>858</v>
      </c>
      <c r="K7" s="3">
        <v>49</v>
      </c>
      <c r="L7" s="4">
        <f t="shared" si="1"/>
        <v>0.40233334583786623</v>
      </c>
      <c r="M7" s="2">
        <f t="shared" si="2"/>
        <v>3</v>
      </c>
      <c r="N7" s="2">
        <f t="shared" si="3"/>
        <v>60</v>
      </c>
      <c r="O7" s="2">
        <f t="shared" si="4"/>
        <v>49</v>
      </c>
      <c r="P7" s="2">
        <f t="shared" si="5"/>
        <v>1200</v>
      </c>
      <c r="Q7" s="2">
        <f t="shared" si="6"/>
        <v>72000</v>
      </c>
      <c r="R7" s="2">
        <f t="shared" si="7"/>
        <v>58800</v>
      </c>
      <c r="S7" s="5">
        <f t="shared" si="8"/>
        <v>0.9</v>
      </c>
      <c r="T7" s="4">
        <f t="shared" si="9"/>
        <v>0.81666666666666665</v>
      </c>
      <c r="U7" s="2">
        <f>VLOOKUP(D7,'[1]Cost to Company'!B:G,6,0)</f>
        <v>26520</v>
      </c>
      <c r="V7" s="2">
        <f t="shared" si="10"/>
        <v>45480</v>
      </c>
      <c r="W7" s="2">
        <f t="shared" si="11"/>
        <v>32280</v>
      </c>
      <c r="X7" s="4">
        <f t="shared" si="12"/>
        <v>0.70976253298153036</v>
      </c>
    </row>
    <row r="8" spans="1:24" x14ac:dyDescent="0.3">
      <c r="A8" s="2">
        <v>7</v>
      </c>
      <c r="B8" s="2" t="s">
        <v>41</v>
      </c>
      <c r="C8" s="2" t="s">
        <v>25</v>
      </c>
      <c r="D8" s="2" t="s">
        <v>26</v>
      </c>
      <c r="E8" s="2" t="s">
        <v>27</v>
      </c>
      <c r="F8" s="2">
        <v>18</v>
      </c>
      <c r="G8" s="2">
        <v>18</v>
      </c>
      <c r="H8" s="2">
        <v>4392</v>
      </c>
      <c r="I8" s="3">
        <f t="shared" si="0"/>
        <v>1668.96</v>
      </c>
      <c r="J8" s="3">
        <v>768</v>
      </c>
      <c r="K8" s="3">
        <v>39</v>
      </c>
      <c r="L8" s="4">
        <f t="shared" si="1"/>
        <v>0.46016681046879493</v>
      </c>
      <c r="M8" s="2">
        <f t="shared" si="2"/>
        <v>2</v>
      </c>
      <c r="N8" s="2">
        <f t="shared" si="3"/>
        <v>36</v>
      </c>
      <c r="O8" s="2">
        <f t="shared" si="4"/>
        <v>39</v>
      </c>
      <c r="P8" s="2">
        <f t="shared" si="5"/>
        <v>1500</v>
      </c>
      <c r="Q8" s="2">
        <f t="shared" si="6"/>
        <v>54000</v>
      </c>
      <c r="R8" s="2">
        <f t="shared" si="7"/>
        <v>58500</v>
      </c>
      <c r="S8" s="5">
        <f t="shared" si="8"/>
        <v>0.9</v>
      </c>
      <c r="T8" s="4">
        <f t="shared" si="9"/>
        <v>1.0833333333333333</v>
      </c>
      <c r="U8" s="2">
        <f>VLOOKUP(D8,'[1]Cost to Company'!B:G,6,0)</f>
        <v>28560</v>
      </c>
      <c r="V8" s="2">
        <f t="shared" si="10"/>
        <v>25440</v>
      </c>
      <c r="W8" s="2">
        <f t="shared" si="11"/>
        <v>29940</v>
      </c>
      <c r="X8" s="4">
        <f t="shared" si="12"/>
        <v>1.1768867924528301</v>
      </c>
    </row>
    <row r="9" spans="1:24" x14ac:dyDescent="0.3">
      <c r="A9" s="2">
        <v>8</v>
      </c>
      <c r="B9" s="2" t="s">
        <v>41</v>
      </c>
      <c r="C9" s="2" t="s">
        <v>28</v>
      </c>
      <c r="D9" s="2" t="s">
        <v>29</v>
      </c>
      <c r="E9" s="2" t="s">
        <v>30</v>
      </c>
      <c r="F9" s="2">
        <v>17</v>
      </c>
      <c r="G9" s="2">
        <v>18</v>
      </c>
      <c r="H9" s="2">
        <v>4242</v>
      </c>
      <c r="I9" s="3">
        <f t="shared" si="0"/>
        <v>1611.96</v>
      </c>
      <c r="J9" s="3">
        <v>774</v>
      </c>
      <c r="K9" s="3">
        <v>40</v>
      </c>
      <c r="L9" s="4">
        <f t="shared" si="1"/>
        <v>0.48016079803469069</v>
      </c>
      <c r="M9" s="2">
        <f t="shared" si="2"/>
        <v>2</v>
      </c>
      <c r="N9" s="2">
        <f t="shared" si="3"/>
        <v>36</v>
      </c>
      <c r="O9" s="2">
        <f t="shared" si="4"/>
        <v>40</v>
      </c>
      <c r="P9" s="2">
        <f t="shared" si="5"/>
        <v>1800</v>
      </c>
      <c r="Q9" s="2">
        <f t="shared" si="6"/>
        <v>64800</v>
      </c>
      <c r="R9" s="2">
        <f t="shared" si="7"/>
        <v>72000</v>
      </c>
      <c r="S9" s="5">
        <f t="shared" si="8"/>
        <v>0.9</v>
      </c>
      <c r="T9" s="4">
        <f t="shared" si="9"/>
        <v>1.1111111111111112</v>
      </c>
      <c r="U9" s="2">
        <f>VLOOKUP(D9,'[1]Cost to Company'!B:G,6,0)</f>
        <v>30600</v>
      </c>
      <c r="V9" s="2">
        <f t="shared" si="10"/>
        <v>34200</v>
      </c>
      <c r="W9" s="2">
        <f t="shared" si="11"/>
        <v>41400</v>
      </c>
      <c r="X9" s="4">
        <f t="shared" si="12"/>
        <v>1.2105263157894737</v>
      </c>
    </row>
    <row r="10" spans="1:24" x14ac:dyDescent="0.3">
      <c r="A10" s="2">
        <v>9</v>
      </c>
      <c r="B10" s="2" t="s">
        <v>41</v>
      </c>
      <c r="C10" s="2" t="s">
        <v>31</v>
      </c>
      <c r="D10" s="2" t="s">
        <v>32</v>
      </c>
      <c r="E10" s="2" t="s">
        <v>33</v>
      </c>
      <c r="F10" s="2">
        <v>19</v>
      </c>
      <c r="G10" s="2">
        <v>18</v>
      </c>
      <c r="H10" s="2">
        <v>4807</v>
      </c>
      <c r="I10" s="3">
        <f t="shared" si="0"/>
        <v>1826.66</v>
      </c>
      <c r="J10" s="3">
        <v>854</v>
      </c>
      <c r="K10" s="3">
        <v>20</v>
      </c>
      <c r="L10" s="4">
        <f t="shared" si="1"/>
        <v>0.46751995445238848</v>
      </c>
      <c r="M10" s="2">
        <f t="shared" si="2"/>
        <v>1</v>
      </c>
      <c r="N10" s="2">
        <f t="shared" si="3"/>
        <v>18</v>
      </c>
      <c r="O10" s="2">
        <f t="shared" si="4"/>
        <v>20</v>
      </c>
      <c r="P10" s="2">
        <f t="shared" si="5"/>
        <v>2500</v>
      </c>
      <c r="Q10" s="2">
        <f t="shared" si="6"/>
        <v>45000</v>
      </c>
      <c r="R10" s="2">
        <f t="shared" si="7"/>
        <v>50000</v>
      </c>
      <c r="S10" s="5">
        <f t="shared" si="8"/>
        <v>0.8</v>
      </c>
      <c r="T10" s="4">
        <f t="shared" si="9"/>
        <v>1.1111111111111112</v>
      </c>
      <c r="U10" s="2">
        <f>VLOOKUP(D10,'[1]Cost to Company'!B:G,6,0)</f>
        <v>27540</v>
      </c>
      <c r="V10" s="2">
        <f t="shared" si="10"/>
        <v>17460</v>
      </c>
      <c r="W10" s="2">
        <f t="shared" si="11"/>
        <v>22460</v>
      </c>
      <c r="X10" s="4">
        <f t="shared" si="12"/>
        <v>1.2863688430698741</v>
      </c>
    </row>
    <row r="11" spans="1:24" x14ac:dyDescent="0.3">
      <c r="A11" s="2">
        <v>10</v>
      </c>
      <c r="B11" s="2" t="s">
        <v>41</v>
      </c>
      <c r="C11" s="2" t="s">
        <v>25</v>
      </c>
      <c r="D11" s="2" t="s">
        <v>34</v>
      </c>
      <c r="E11" s="2" t="s">
        <v>35</v>
      </c>
      <c r="F11" s="2">
        <v>20</v>
      </c>
      <c r="G11" s="2">
        <v>18</v>
      </c>
      <c r="H11" s="2">
        <v>5020</v>
      </c>
      <c r="I11" s="3">
        <f t="shared" si="0"/>
        <v>1907.6</v>
      </c>
      <c r="J11" s="3">
        <v>935</v>
      </c>
      <c r="K11" s="3">
        <v>39</v>
      </c>
      <c r="L11" s="4">
        <f t="shared" si="1"/>
        <v>0.49014468442021392</v>
      </c>
      <c r="M11" s="2">
        <f t="shared" si="2"/>
        <v>2</v>
      </c>
      <c r="N11" s="2">
        <f t="shared" si="3"/>
        <v>36</v>
      </c>
      <c r="O11" s="2">
        <f t="shared" si="4"/>
        <v>39</v>
      </c>
      <c r="P11" s="2">
        <f t="shared" si="5"/>
        <v>1500</v>
      </c>
      <c r="Q11" s="2">
        <f t="shared" si="6"/>
        <v>54000</v>
      </c>
      <c r="R11" s="2">
        <f t="shared" si="7"/>
        <v>58500</v>
      </c>
      <c r="S11" s="5">
        <f t="shared" si="8"/>
        <v>0.9</v>
      </c>
      <c r="T11" s="4">
        <f t="shared" si="9"/>
        <v>1.0833333333333333</v>
      </c>
      <c r="U11" s="2">
        <f>VLOOKUP(D11,'[1]Cost to Company'!B:G,6,0)</f>
        <v>33660</v>
      </c>
      <c r="V11" s="2">
        <f t="shared" si="10"/>
        <v>20340</v>
      </c>
      <c r="W11" s="2">
        <f t="shared" si="11"/>
        <v>24840</v>
      </c>
      <c r="X11" s="4">
        <f t="shared" si="12"/>
        <v>1.2212389380530972</v>
      </c>
    </row>
    <row r="12" spans="1:24" x14ac:dyDescent="0.3">
      <c r="A12" s="2">
        <v>11</v>
      </c>
      <c r="B12" s="2" t="s">
        <v>41</v>
      </c>
      <c r="C12" s="2" t="s">
        <v>28</v>
      </c>
      <c r="D12" s="2" t="s">
        <v>36</v>
      </c>
      <c r="E12" s="2" t="s">
        <v>37</v>
      </c>
      <c r="F12" s="2">
        <v>20</v>
      </c>
      <c r="G12" s="2">
        <v>18</v>
      </c>
      <c r="H12" s="2">
        <v>5080</v>
      </c>
      <c r="I12" s="3">
        <f t="shared" si="0"/>
        <v>1930.4</v>
      </c>
      <c r="J12" s="3">
        <v>752</v>
      </c>
      <c r="K12" s="3">
        <v>49</v>
      </c>
      <c r="L12" s="4">
        <f t="shared" si="1"/>
        <v>0.38955656858682136</v>
      </c>
      <c r="M12" s="2">
        <f t="shared" si="2"/>
        <v>2</v>
      </c>
      <c r="N12" s="2">
        <f t="shared" si="3"/>
        <v>36</v>
      </c>
      <c r="O12" s="2">
        <v>41</v>
      </c>
      <c r="P12" s="2">
        <f t="shared" si="5"/>
        <v>1800</v>
      </c>
      <c r="Q12" s="2">
        <f t="shared" si="6"/>
        <v>64800</v>
      </c>
      <c r="R12" s="2">
        <f t="shared" si="7"/>
        <v>73800</v>
      </c>
      <c r="S12" s="5">
        <f t="shared" si="8"/>
        <v>0.9</v>
      </c>
      <c r="T12" s="4">
        <f t="shared" si="9"/>
        <v>1.1388888888888888</v>
      </c>
      <c r="U12" s="2">
        <f>VLOOKUP(D12,'[1]Cost to Company'!B:G,6,0)</f>
        <v>32640</v>
      </c>
      <c r="V12" s="2">
        <f t="shared" si="10"/>
        <v>32160</v>
      </c>
      <c r="W12" s="2">
        <f t="shared" si="11"/>
        <v>41160</v>
      </c>
      <c r="X12" s="4">
        <f t="shared" si="12"/>
        <v>1.2798507462686568</v>
      </c>
    </row>
    <row r="13" spans="1:24" x14ac:dyDescent="0.3">
      <c r="A13" s="2">
        <v>12</v>
      </c>
      <c r="B13" s="2" t="s">
        <v>41</v>
      </c>
      <c r="C13" s="2" t="s">
        <v>38</v>
      </c>
      <c r="D13" s="2" t="s">
        <v>39</v>
      </c>
      <c r="E13" s="2" t="s">
        <v>40</v>
      </c>
      <c r="F13" s="2">
        <v>19</v>
      </c>
      <c r="G13" s="2">
        <v>18</v>
      </c>
      <c r="H13" s="2">
        <v>4579</v>
      </c>
      <c r="I13" s="3">
        <f t="shared" si="0"/>
        <v>1740.02</v>
      </c>
      <c r="J13" s="3">
        <v>751</v>
      </c>
      <c r="K13" s="3">
        <v>53</v>
      </c>
      <c r="L13" s="4">
        <f t="shared" si="1"/>
        <v>0.43160423443408696</v>
      </c>
      <c r="M13" s="2">
        <f t="shared" si="2"/>
        <v>3</v>
      </c>
      <c r="N13" s="2">
        <f t="shared" si="3"/>
        <v>54</v>
      </c>
      <c r="O13" s="2">
        <f t="shared" si="4"/>
        <v>53</v>
      </c>
      <c r="P13" s="2">
        <f t="shared" si="5"/>
        <v>1200</v>
      </c>
      <c r="Q13" s="2">
        <f t="shared" si="6"/>
        <v>64800</v>
      </c>
      <c r="R13" s="2">
        <f t="shared" si="7"/>
        <v>63600</v>
      </c>
      <c r="S13" s="5">
        <f t="shared" si="8"/>
        <v>0.9</v>
      </c>
      <c r="T13" s="4">
        <f t="shared" si="9"/>
        <v>0.98148148148148151</v>
      </c>
      <c r="U13" s="2">
        <f>VLOOKUP(D13,'[1]Cost to Company'!B:G,6,0)</f>
        <v>26520</v>
      </c>
      <c r="V13" s="2">
        <f t="shared" si="10"/>
        <v>38280</v>
      </c>
      <c r="W13" s="2">
        <f t="shared" si="11"/>
        <v>37080</v>
      </c>
      <c r="X13" s="4">
        <f t="shared" si="12"/>
        <v>0.96865203761755481</v>
      </c>
    </row>
    <row r="14" spans="1:24" x14ac:dyDescent="0.3">
      <c r="A14" s="2">
        <v>13</v>
      </c>
      <c r="B14" s="2" t="s">
        <v>42</v>
      </c>
      <c r="C14" s="2" t="s">
        <v>25</v>
      </c>
      <c r="D14" s="2" t="s">
        <v>26</v>
      </c>
      <c r="E14" s="2" t="s">
        <v>27</v>
      </c>
      <c r="F14" s="2">
        <v>22</v>
      </c>
      <c r="G14" s="2">
        <v>20</v>
      </c>
      <c r="H14" s="2">
        <v>5676</v>
      </c>
      <c r="I14" s="3">
        <f t="shared" si="0"/>
        <v>2156.88</v>
      </c>
      <c r="J14" s="3">
        <v>938</v>
      </c>
      <c r="K14" s="3">
        <v>49</v>
      </c>
      <c r="L14" s="4">
        <f t="shared" si="1"/>
        <v>0.43488742999146912</v>
      </c>
      <c r="M14" s="2">
        <f t="shared" si="2"/>
        <v>2</v>
      </c>
      <c r="N14" s="2">
        <f t="shared" si="3"/>
        <v>40</v>
      </c>
      <c r="O14" s="2">
        <f t="shared" si="4"/>
        <v>49</v>
      </c>
      <c r="P14" s="2">
        <f t="shared" si="5"/>
        <v>1500</v>
      </c>
      <c r="Q14" s="2">
        <f t="shared" si="6"/>
        <v>60000</v>
      </c>
      <c r="R14" s="2">
        <f t="shared" si="7"/>
        <v>73500</v>
      </c>
      <c r="S14" s="5">
        <f t="shared" si="8"/>
        <v>0.9</v>
      </c>
      <c r="T14" s="4">
        <f t="shared" si="9"/>
        <v>1.2250000000000001</v>
      </c>
      <c r="U14" s="2">
        <f>VLOOKUP(D14,'[1]Cost to Company'!B:G,6,0)</f>
        <v>28560</v>
      </c>
      <c r="V14" s="2">
        <f t="shared" si="10"/>
        <v>31440</v>
      </c>
      <c r="W14" s="2">
        <f t="shared" si="11"/>
        <v>44940</v>
      </c>
      <c r="X14" s="4">
        <f t="shared" si="12"/>
        <v>1.4293893129770991</v>
      </c>
    </row>
    <row r="15" spans="1:24" x14ac:dyDescent="0.3">
      <c r="A15" s="2">
        <v>14</v>
      </c>
      <c r="B15" s="2" t="s">
        <v>42</v>
      </c>
      <c r="C15" s="2" t="s">
        <v>28</v>
      </c>
      <c r="D15" s="2" t="s">
        <v>29</v>
      </c>
      <c r="E15" s="2" t="s">
        <v>30</v>
      </c>
      <c r="F15" s="2">
        <v>21</v>
      </c>
      <c r="G15" s="2">
        <v>20</v>
      </c>
      <c r="H15" s="2">
        <v>5250</v>
      </c>
      <c r="I15" s="3">
        <f t="shared" si="0"/>
        <v>1995</v>
      </c>
      <c r="J15" s="3">
        <v>948</v>
      </c>
      <c r="K15" s="3">
        <v>51</v>
      </c>
      <c r="L15" s="4">
        <f t="shared" si="1"/>
        <v>0.47518796992481205</v>
      </c>
      <c r="M15" s="2">
        <f t="shared" si="2"/>
        <v>2</v>
      </c>
      <c r="N15" s="2">
        <f t="shared" si="3"/>
        <v>40</v>
      </c>
      <c r="O15" s="2">
        <f t="shared" si="4"/>
        <v>51</v>
      </c>
      <c r="P15" s="2">
        <f t="shared" si="5"/>
        <v>1800</v>
      </c>
      <c r="Q15" s="2">
        <f t="shared" si="6"/>
        <v>72000</v>
      </c>
      <c r="R15" s="2">
        <f t="shared" si="7"/>
        <v>91800</v>
      </c>
      <c r="S15" s="5">
        <f t="shared" si="8"/>
        <v>0.9</v>
      </c>
      <c r="T15" s="4">
        <f t="shared" si="9"/>
        <v>1.2749999999999999</v>
      </c>
      <c r="U15" s="2">
        <f>VLOOKUP(D15,'[1]Cost to Company'!B:G,6,0)</f>
        <v>30600</v>
      </c>
      <c r="V15" s="2">
        <f t="shared" si="10"/>
        <v>41400</v>
      </c>
      <c r="W15" s="2">
        <f t="shared" si="11"/>
        <v>61200</v>
      </c>
      <c r="X15" s="4">
        <f t="shared" si="12"/>
        <v>1.4782608695652173</v>
      </c>
    </row>
    <row r="16" spans="1:24" x14ac:dyDescent="0.3">
      <c r="A16" s="2">
        <v>15</v>
      </c>
      <c r="B16" s="2" t="s">
        <v>42</v>
      </c>
      <c r="C16" s="2" t="s">
        <v>31</v>
      </c>
      <c r="D16" s="2" t="s">
        <v>32</v>
      </c>
      <c r="E16" s="2" t="s">
        <v>33</v>
      </c>
      <c r="F16" s="2">
        <v>20</v>
      </c>
      <c r="G16" s="2">
        <v>20</v>
      </c>
      <c r="H16" s="2">
        <v>5120</v>
      </c>
      <c r="I16" s="3">
        <f t="shared" si="0"/>
        <v>1945.6</v>
      </c>
      <c r="J16" s="3">
        <v>895</v>
      </c>
      <c r="K16" s="3">
        <v>25</v>
      </c>
      <c r="L16" s="4">
        <f t="shared" si="1"/>
        <v>0.46001233552631582</v>
      </c>
      <c r="M16" s="2">
        <f t="shared" si="2"/>
        <v>1</v>
      </c>
      <c r="N16" s="2">
        <f t="shared" si="3"/>
        <v>20</v>
      </c>
      <c r="O16" s="2">
        <f t="shared" si="4"/>
        <v>25</v>
      </c>
      <c r="P16" s="2">
        <f t="shared" si="5"/>
        <v>2500</v>
      </c>
      <c r="Q16" s="2">
        <f t="shared" si="6"/>
        <v>50000</v>
      </c>
      <c r="R16" s="2">
        <f t="shared" si="7"/>
        <v>62500</v>
      </c>
      <c r="S16" s="5">
        <f t="shared" si="8"/>
        <v>0.8</v>
      </c>
      <c r="T16" s="4">
        <f t="shared" si="9"/>
        <v>1.25</v>
      </c>
      <c r="U16" s="2">
        <f>VLOOKUP(D16,'[1]Cost to Company'!B:G,6,0)</f>
        <v>27540</v>
      </c>
      <c r="V16" s="2">
        <f t="shared" si="10"/>
        <v>22460</v>
      </c>
      <c r="W16" s="2">
        <f t="shared" si="11"/>
        <v>34960</v>
      </c>
      <c r="X16" s="4">
        <f t="shared" si="12"/>
        <v>1.5565449688334818</v>
      </c>
    </row>
    <row r="17" spans="1:24" x14ac:dyDescent="0.3">
      <c r="A17" s="2">
        <v>16</v>
      </c>
      <c r="B17" s="2" t="s">
        <v>42</v>
      </c>
      <c r="C17" s="2" t="s">
        <v>25</v>
      </c>
      <c r="D17" s="2" t="s">
        <v>34</v>
      </c>
      <c r="E17" s="2" t="s">
        <v>35</v>
      </c>
      <c r="F17" s="2">
        <v>20</v>
      </c>
      <c r="G17" s="2">
        <v>20</v>
      </c>
      <c r="H17" s="2">
        <v>5040</v>
      </c>
      <c r="I17" s="3">
        <f t="shared" si="0"/>
        <v>1915.2</v>
      </c>
      <c r="J17" s="3">
        <v>709</v>
      </c>
      <c r="K17" s="3">
        <v>25</v>
      </c>
      <c r="L17" s="4">
        <f t="shared" si="1"/>
        <v>0.37019632414369258</v>
      </c>
      <c r="M17" s="2">
        <f t="shared" si="2"/>
        <v>2</v>
      </c>
      <c r="N17" s="2">
        <f t="shared" si="3"/>
        <v>40</v>
      </c>
      <c r="O17" s="2">
        <f t="shared" si="4"/>
        <v>25</v>
      </c>
      <c r="P17" s="2">
        <f t="shared" si="5"/>
        <v>1500</v>
      </c>
      <c r="Q17" s="2">
        <f t="shared" si="6"/>
        <v>60000</v>
      </c>
      <c r="R17" s="2">
        <f t="shared" si="7"/>
        <v>37500</v>
      </c>
      <c r="S17" s="5">
        <f t="shared" si="8"/>
        <v>0.9</v>
      </c>
      <c r="T17" s="4">
        <f t="shared" si="9"/>
        <v>0.625</v>
      </c>
      <c r="U17" s="2">
        <f>VLOOKUP(D17,'[1]Cost to Company'!B:G,6,0)</f>
        <v>33660</v>
      </c>
      <c r="V17" s="2">
        <f t="shared" si="10"/>
        <v>26340</v>
      </c>
      <c r="W17" s="2">
        <f t="shared" si="11"/>
        <v>3840</v>
      </c>
      <c r="X17" s="4">
        <f t="shared" si="12"/>
        <v>0.14578587699316628</v>
      </c>
    </row>
    <row r="18" spans="1:24" x14ac:dyDescent="0.3">
      <c r="A18" s="2">
        <v>17</v>
      </c>
      <c r="B18" s="2" t="s">
        <v>42</v>
      </c>
      <c r="C18" s="2" t="s">
        <v>28</v>
      </c>
      <c r="D18" s="2" t="s">
        <v>36</v>
      </c>
      <c r="E18" s="2" t="s">
        <v>37</v>
      </c>
      <c r="F18" s="2">
        <v>19</v>
      </c>
      <c r="G18" s="2">
        <v>20</v>
      </c>
      <c r="H18" s="2">
        <v>4769</v>
      </c>
      <c r="I18" s="3">
        <f t="shared" si="0"/>
        <v>1812.22</v>
      </c>
      <c r="J18" s="3">
        <v>689</v>
      </c>
      <c r="K18" s="3">
        <v>26</v>
      </c>
      <c r="L18" s="4">
        <f t="shared" si="1"/>
        <v>0.38019666486408932</v>
      </c>
      <c r="M18" s="2">
        <f t="shared" si="2"/>
        <v>2</v>
      </c>
      <c r="N18" s="2">
        <f t="shared" si="3"/>
        <v>40</v>
      </c>
      <c r="O18" s="2">
        <f t="shared" si="4"/>
        <v>26</v>
      </c>
      <c r="P18" s="2">
        <f t="shared" si="5"/>
        <v>1800</v>
      </c>
      <c r="Q18" s="2">
        <f t="shared" si="6"/>
        <v>72000</v>
      </c>
      <c r="R18" s="2">
        <f t="shared" si="7"/>
        <v>46800</v>
      </c>
      <c r="S18" s="5">
        <f t="shared" si="8"/>
        <v>0.9</v>
      </c>
      <c r="T18" s="4">
        <f t="shared" si="9"/>
        <v>0.65</v>
      </c>
      <c r="U18" s="2">
        <f>VLOOKUP(D18,'[1]Cost to Company'!B:G,6,0)</f>
        <v>32640</v>
      </c>
      <c r="V18" s="2">
        <f t="shared" si="10"/>
        <v>39360</v>
      </c>
      <c r="W18" s="2">
        <f t="shared" si="11"/>
        <v>14160</v>
      </c>
      <c r="X18" s="4">
        <f t="shared" si="12"/>
        <v>0.3597560975609756</v>
      </c>
    </row>
    <row r="19" spans="1:24" x14ac:dyDescent="0.3">
      <c r="A19" s="2">
        <v>18</v>
      </c>
      <c r="B19" s="2" t="s">
        <v>42</v>
      </c>
      <c r="C19" s="2" t="s">
        <v>38</v>
      </c>
      <c r="D19" s="2" t="s">
        <v>39</v>
      </c>
      <c r="E19" s="2" t="s">
        <v>40</v>
      </c>
      <c r="F19" s="2">
        <v>22</v>
      </c>
      <c r="G19" s="2">
        <v>20</v>
      </c>
      <c r="H19" s="2">
        <v>5500</v>
      </c>
      <c r="I19" s="3">
        <f t="shared" si="0"/>
        <v>2090</v>
      </c>
      <c r="J19" s="3">
        <v>784</v>
      </c>
      <c r="K19" s="3">
        <v>63</v>
      </c>
      <c r="L19" s="4">
        <f t="shared" si="1"/>
        <v>0.37511961722488041</v>
      </c>
      <c r="M19" s="2">
        <f t="shared" si="2"/>
        <v>3</v>
      </c>
      <c r="N19" s="2">
        <f t="shared" si="3"/>
        <v>60</v>
      </c>
      <c r="O19" s="2">
        <f t="shared" si="4"/>
        <v>63</v>
      </c>
      <c r="P19" s="2">
        <f t="shared" si="5"/>
        <v>1200</v>
      </c>
      <c r="Q19" s="2">
        <f t="shared" si="6"/>
        <v>72000</v>
      </c>
      <c r="R19" s="2">
        <f t="shared" si="7"/>
        <v>75600</v>
      </c>
      <c r="S19" s="5">
        <f t="shared" si="8"/>
        <v>0.9</v>
      </c>
      <c r="T19" s="4">
        <f t="shared" si="9"/>
        <v>1.05</v>
      </c>
      <c r="U19" s="2">
        <f>VLOOKUP(D19,'[1]Cost to Company'!B:G,6,0)</f>
        <v>26520</v>
      </c>
      <c r="V19" s="2">
        <f t="shared" si="10"/>
        <v>45480</v>
      </c>
      <c r="W19" s="2">
        <f t="shared" si="11"/>
        <v>49080</v>
      </c>
      <c r="X19" s="4">
        <f t="shared" si="12"/>
        <v>1.079155672823219</v>
      </c>
    </row>
    <row r="20" spans="1:24" x14ac:dyDescent="0.3">
      <c r="A20" s="2">
        <v>19</v>
      </c>
      <c r="B20" s="2" t="s">
        <v>43</v>
      </c>
      <c r="C20" s="2" t="s">
        <v>25</v>
      </c>
      <c r="D20" s="2" t="s">
        <v>26</v>
      </c>
      <c r="E20" s="2" t="s">
        <v>27</v>
      </c>
      <c r="F20" s="2">
        <v>19</v>
      </c>
      <c r="G20" s="2">
        <v>19</v>
      </c>
      <c r="H20" s="2">
        <v>4731</v>
      </c>
      <c r="I20" s="3">
        <f t="shared" si="0"/>
        <v>1797.78</v>
      </c>
      <c r="J20" s="3">
        <v>701</v>
      </c>
      <c r="K20" s="3">
        <v>33</v>
      </c>
      <c r="L20" s="4">
        <f t="shared" si="1"/>
        <v>0.3899253523790453</v>
      </c>
      <c r="M20" s="2">
        <f t="shared" si="2"/>
        <v>2</v>
      </c>
      <c r="N20" s="2">
        <f t="shared" si="3"/>
        <v>38</v>
      </c>
      <c r="O20" s="2">
        <v>36</v>
      </c>
      <c r="P20" s="2">
        <f t="shared" si="5"/>
        <v>1500</v>
      </c>
      <c r="Q20" s="2">
        <f t="shared" si="6"/>
        <v>57000</v>
      </c>
      <c r="R20" s="2">
        <f t="shared" si="7"/>
        <v>54000</v>
      </c>
      <c r="S20" s="5">
        <f t="shared" si="8"/>
        <v>0.9</v>
      </c>
      <c r="T20" s="4">
        <f t="shared" si="9"/>
        <v>0.94736842105263153</v>
      </c>
      <c r="U20" s="2">
        <f>VLOOKUP(D20,'[1]Cost to Company'!B:G,6,0)</f>
        <v>28560</v>
      </c>
      <c r="V20" s="2">
        <f t="shared" si="10"/>
        <v>28440</v>
      </c>
      <c r="W20" s="2">
        <f t="shared" si="11"/>
        <v>25440</v>
      </c>
      <c r="X20" s="4">
        <f t="shared" si="12"/>
        <v>0.89451476793248941</v>
      </c>
    </row>
    <row r="21" spans="1:24" x14ac:dyDescent="0.3">
      <c r="A21" s="2">
        <v>20</v>
      </c>
      <c r="B21" s="2" t="s">
        <v>43</v>
      </c>
      <c r="C21" s="2" t="s">
        <v>28</v>
      </c>
      <c r="D21" s="2" t="s">
        <v>29</v>
      </c>
      <c r="E21" s="2" t="s">
        <v>30</v>
      </c>
      <c r="F21" s="2">
        <v>19</v>
      </c>
      <c r="G21" s="2">
        <v>19</v>
      </c>
      <c r="H21" s="2">
        <v>4845</v>
      </c>
      <c r="I21" s="3">
        <f t="shared" si="0"/>
        <v>1841.1</v>
      </c>
      <c r="J21" s="3">
        <v>736</v>
      </c>
      <c r="K21" s="3">
        <v>33</v>
      </c>
      <c r="L21" s="4">
        <f t="shared" si="1"/>
        <v>0.39976101243821632</v>
      </c>
      <c r="M21" s="2">
        <f t="shared" si="2"/>
        <v>2</v>
      </c>
      <c r="N21" s="2">
        <f t="shared" si="3"/>
        <v>38</v>
      </c>
      <c r="O21" s="2">
        <f t="shared" si="4"/>
        <v>33</v>
      </c>
      <c r="P21" s="2">
        <f t="shared" si="5"/>
        <v>1800</v>
      </c>
      <c r="Q21" s="2">
        <f t="shared" si="6"/>
        <v>68400</v>
      </c>
      <c r="R21" s="2">
        <f t="shared" si="7"/>
        <v>59400</v>
      </c>
      <c r="S21" s="5">
        <f t="shared" si="8"/>
        <v>0.9</v>
      </c>
      <c r="T21" s="4">
        <f t="shared" si="9"/>
        <v>0.86842105263157898</v>
      </c>
      <c r="U21" s="2">
        <f>VLOOKUP(D21,'[1]Cost to Company'!B:G,6,0)</f>
        <v>30600</v>
      </c>
      <c r="V21" s="2">
        <f t="shared" si="10"/>
        <v>37800</v>
      </c>
      <c r="W21" s="2">
        <f t="shared" si="11"/>
        <v>28800</v>
      </c>
      <c r="X21" s="4">
        <f t="shared" si="12"/>
        <v>0.76190476190476186</v>
      </c>
    </row>
    <row r="22" spans="1:24" x14ac:dyDescent="0.3">
      <c r="A22" s="2">
        <v>21</v>
      </c>
      <c r="B22" s="2" t="s">
        <v>43</v>
      </c>
      <c r="C22" s="2" t="s">
        <v>31</v>
      </c>
      <c r="D22" s="2" t="s">
        <v>32</v>
      </c>
      <c r="E22" s="2" t="s">
        <v>33</v>
      </c>
      <c r="F22" s="2">
        <v>18</v>
      </c>
      <c r="G22" s="2">
        <v>19</v>
      </c>
      <c r="H22" s="2">
        <v>4464</v>
      </c>
      <c r="I22" s="3">
        <f t="shared" si="0"/>
        <v>1696.32</v>
      </c>
      <c r="J22" s="3">
        <v>746</v>
      </c>
      <c r="K22" s="3">
        <v>16</v>
      </c>
      <c r="L22" s="4">
        <f t="shared" si="1"/>
        <v>0.4397755140539521</v>
      </c>
      <c r="M22" s="2">
        <f t="shared" si="2"/>
        <v>1</v>
      </c>
      <c r="N22" s="2">
        <f t="shared" si="3"/>
        <v>19</v>
      </c>
      <c r="O22" s="2">
        <f t="shared" si="4"/>
        <v>16</v>
      </c>
      <c r="P22" s="2">
        <f t="shared" si="5"/>
        <v>2500</v>
      </c>
      <c r="Q22" s="2">
        <f t="shared" si="6"/>
        <v>47500</v>
      </c>
      <c r="R22" s="2">
        <f t="shared" si="7"/>
        <v>40000</v>
      </c>
      <c r="S22" s="5">
        <f t="shared" si="8"/>
        <v>0.8</v>
      </c>
      <c r="T22" s="4">
        <f t="shared" si="9"/>
        <v>0.84210526315789469</v>
      </c>
      <c r="U22" s="2">
        <f>VLOOKUP(D22,'[1]Cost to Company'!B:G,6,0)</f>
        <v>27540</v>
      </c>
      <c r="V22" s="2">
        <f t="shared" si="10"/>
        <v>19960</v>
      </c>
      <c r="W22" s="2">
        <f t="shared" si="11"/>
        <v>12460</v>
      </c>
      <c r="X22" s="4">
        <f t="shared" si="12"/>
        <v>0.62424849699398799</v>
      </c>
    </row>
    <row r="23" spans="1:24" x14ac:dyDescent="0.3">
      <c r="A23" s="2">
        <v>22</v>
      </c>
      <c r="B23" s="2" t="s">
        <v>43</v>
      </c>
      <c r="C23" s="2" t="s">
        <v>25</v>
      </c>
      <c r="D23" s="2" t="s">
        <v>34</v>
      </c>
      <c r="E23" s="2" t="s">
        <v>35</v>
      </c>
      <c r="F23" s="2">
        <v>20</v>
      </c>
      <c r="G23" s="2">
        <v>19</v>
      </c>
      <c r="H23" s="2">
        <v>5060</v>
      </c>
      <c r="I23" s="3">
        <f t="shared" si="0"/>
        <v>1922.8</v>
      </c>
      <c r="J23" s="3">
        <v>865</v>
      </c>
      <c r="K23" s="3">
        <v>31</v>
      </c>
      <c r="L23" s="4">
        <f t="shared" si="1"/>
        <v>0.44986478052839612</v>
      </c>
      <c r="M23" s="2">
        <f t="shared" si="2"/>
        <v>2</v>
      </c>
      <c r="N23" s="2">
        <f t="shared" si="3"/>
        <v>38</v>
      </c>
      <c r="O23" s="2">
        <f t="shared" si="4"/>
        <v>31</v>
      </c>
      <c r="P23" s="2">
        <f t="shared" si="5"/>
        <v>1500</v>
      </c>
      <c r="Q23" s="2">
        <f t="shared" si="6"/>
        <v>57000</v>
      </c>
      <c r="R23" s="2">
        <f t="shared" si="7"/>
        <v>46500</v>
      </c>
      <c r="S23" s="5">
        <f t="shared" si="8"/>
        <v>0.9</v>
      </c>
      <c r="T23" s="4">
        <f t="shared" si="9"/>
        <v>0.81578947368421051</v>
      </c>
      <c r="U23" s="2">
        <f>VLOOKUP(D23,'[1]Cost to Company'!B:G,6,0)</f>
        <v>33660</v>
      </c>
      <c r="V23" s="2">
        <f t="shared" si="10"/>
        <v>23340</v>
      </c>
      <c r="W23" s="2">
        <f t="shared" si="11"/>
        <v>12840</v>
      </c>
      <c r="X23" s="4">
        <f t="shared" si="12"/>
        <v>0.55012853470437018</v>
      </c>
    </row>
    <row r="24" spans="1:24" x14ac:dyDescent="0.3">
      <c r="A24" s="2">
        <v>23</v>
      </c>
      <c r="B24" s="2" t="s">
        <v>43</v>
      </c>
      <c r="C24" s="2" t="s">
        <v>28</v>
      </c>
      <c r="D24" s="2" t="s">
        <v>36</v>
      </c>
      <c r="E24" s="2" t="s">
        <v>37</v>
      </c>
      <c r="F24" s="2">
        <v>20</v>
      </c>
      <c r="G24" s="2">
        <v>19</v>
      </c>
      <c r="H24" s="2">
        <v>5100</v>
      </c>
      <c r="I24" s="3">
        <f t="shared" si="0"/>
        <v>1938</v>
      </c>
      <c r="J24" s="3">
        <v>853</v>
      </c>
      <c r="K24" s="3">
        <v>43</v>
      </c>
      <c r="L24" s="4">
        <f t="shared" si="1"/>
        <v>0.44014447884416924</v>
      </c>
      <c r="M24" s="2">
        <f t="shared" si="2"/>
        <v>2</v>
      </c>
      <c r="N24" s="2">
        <f t="shared" si="3"/>
        <v>38</v>
      </c>
      <c r="O24" s="2">
        <f t="shared" si="4"/>
        <v>43</v>
      </c>
      <c r="P24" s="2">
        <f t="shared" si="5"/>
        <v>1800</v>
      </c>
      <c r="Q24" s="2">
        <f t="shared" si="6"/>
        <v>68400</v>
      </c>
      <c r="R24" s="2">
        <f t="shared" si="7"/>
        <v>77400</v>
      </c>
      <c r="S24" s="5">
        <f t="shared" si="8"/>
        <v>0.9</v>
      </c>
      <c r="T24" s="4">
        <f t="shared" si="9"/>
        <v>1.131578947368421</v>
      </c>
      <c r="U24" s="2">
        <f>VLOOKUP(D24,'[1]Cost to Company'!B:G,6,0)</f>
        <v>32640</v>
      </c>
      <c r="V24" s="2">
        <f t="shared" si="10"/>
        <v>35760</v>
      </c>
      <c r="W24" s="2">
        <f t="shared" si="11"/>
        <v>44760</v>
      </c>
      <c r="X24" s="4">
        <f t="shared" si="12"/>
        <v>1.2516778523489933</v>
      </c>
    </row>
    <row r="25" spans="1:24" x14ac:dyDescent="0.3">
      <c r="A25" s="2">
        <v>24</v>
      </c>
      <c r="B25" s="2" t="s">
        <v>43</v>
      </c>
      <c r="C25" s="2" t="s">
        <v>38</v>
      </c>
      <c r="D25" s="2" t="s">
        <v>39</v>
      </c>
      <c r="E25" s="2" t="s">
        <v>40</v>
      </c>
      <c r="F25" s="2">
        <v>21</v>
      </c>
      <c r="G25" s="2">
        <v>19</v>
      </c>
      <c r="H25" s="2">
        <v>5418</v>
      </c>
      <c r="I25" s="3">
        <f t="shared" si="0"/>
        <v>2058.84</v>
      </c>
      <c r="J25" s="3">
        <v>947</v>
      </c>
      <c r="K25" s="3">
        <v>62</v>
      </c>
      <c r="L25" s="4">
        <f t="shared" si="1"/>
        <v>0.45996774882943792</v>
      </c>
      <c r="M25" s="2">
        <f t="shared" si="2"/>
        <v>3</v>
      </c>
      <c r="N25" s="2">
        <f t="shared" si="3"/>
        <v>57</v>
      </c>
      <c r="O25" s="2">
        <f t="shared" si="4"/>
        <v>62</v>
      </c>
      <c r="P25" s="2">
        <f t="shared" si="5"/>
        <v>1200</v>
      </c>
      <c r="Q25" s="2">
        <f t="shared" si="6"/>
        <v>68400</v>
      </c>
      <c r="R25" s="2">
        <f t="shared" si="7"/>
        <v>74400</v>
      </c>
      <c r="S25" s="5">
        <f t="shared" si="8"/>
        <v>0.9</v>
      </c>
      <c r="T25" s="4">
        <f t="shared" si="9"/>
        <v>1.0877192982456141</v>
      </c>
      <c r="U25" s="2">
        <f>VLOOKUP(D25,'[1]Cost to Company'!B:G,6,0)</f>
        <v>26520</v>
      </c>
      <c r="V25" s="2">
        <f t="shared" si="10"/>
        <v>41880</v>
      </c>
      <c r="W25" s="2">
        <f t="shared" si="11"/>
        <v>47880</v>
      </c>
      <c r="X25" s="4">
        <f t="shared" si="12"/>
        <v>1.1432664756446991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612B4-714B-4A1E-B8CA-6F9C60F871C3}">
  <dimension ref="A3:K11"/>
  <sheetViews>
    <sheetView showGridLines="0" zoomScale="79" workbookViewId="0">
      <selection activeCell="B12" sqref="B12"/>
    </sheetView>
  </sheetViews>
  <sheetFormatPr defaultRowHeight="14.4" x14ac:dyDescent="0.3"/>
  <cols>
    <col min="1" max="1" width="17.77734375" bestFit="1" customWidth="1"/>
    <col min="2" max="2" width="16" bestFit="1" customWidth="1"/>
    <col min="4" max="4" width="13.77734375" bestFit="1" customWidth="1"/>
    <col min="5" max="5" width="23.21875" bestFit="1" customWidth="1"/>
    <col min="7" max="7" width="18.77734375" bestFit="1" customWidth="1"/>
    <col min="8" max="8" width="29.6640625" bestFit="1" customWidth="1"/>
    <col min="10" max="10" width="17.77734375" bestFit="1" customWidth="1"/>
    <col min="11" max="11" width="10" bestFit="1" customWidth="1"/>
  </cols>
  <sheetData>
    <row r="3" spans="1:11" x14ac:dyDescent="0.3">
      <c r="A3" s="6" t="s">
        <v>46</v>
      </c>
      <c r="B3" t="s">
        <v>47</v>
      </c>
      <c r="D3" s="6" t="s">
        <v>44</v>
      </c>
      <c r="E3" t="s">
        <v>48</v>
      </c>
    </row>
    <row r="4" spans="1:11" x14ac:dyDescent="0.3">
      <c r="A4" s="7" t="s">
        <v>38</v>
      </c>
      <c r="B4" s="8">
        <v>58800</v>
      </c>
      <c r="D4" s="7" t="s">
        <v>24</v>
      </c>
      <c r="E4" s="8">
        <v>184880</v>
      </c>
      <c r="G4" s="6" t="s">
        <v>49</v>
      </c>
      <c r="H4" t="s">
        <v>50</v>
      </c>
      <c r="J4" s="6" t="s">
        <v>51</v>
      </c>
      <c r="K4" t="s">
        <v>52</v>
      </c>
    </row>
    <row r="5" spans="1:11" x14ac:dyDescent="0.3">
      <c r="A5" s="7" t="s">
        <v>31</v>
      </c>
      <c r="B5" s="8">
        <v>57500</v>
      </c>
      <c r="D5" s="7" t="s">
        <v>45</v>
      </c>
      <c r="E5" s="8">
        <v>184880</v>
      </c>
      <c r="G5" s="7" t="s">
        <v>37</v>
      </c>
      <c r="H5" s="8">
        <v>39</v>
      </c>
      <c r="J5" s="7" t="s">
        <v>38</v>
      </c>
      <c r="K5" s="8">
        <v>32280</v>
      </c>
    </row>
    <row r="6" spans="1:11" x14ac:dyDescent="0.3">
      <c r="A6" s="7" t="s">
        <v>28</v>
      </c>
      <c r="B6" s="8">
        <v>129600</v>
      </c>
      <c r="G6" s="7" t="s">
        <v>30</v>
      </c>
      <c r="H6" s="8">
        <v>33</v>
      </c>
      <c r="J6" s="7" t="s">
        <v>31</v>
      </c>
      <c r="K6" s="8">
        <v>29960</v>
      </c>
    </row>
    <row r="7" spans="1:11" x14ac:dyDescent="0.3">
      <c r="A7" s="7" t="s">
        <v>25</v>
      </c>
      <c r="B7" s="8">
        <v>118500</v>
      </c>
      <c r="G7" s="7" t="s">
        <v>40</v>
      </c>
      <c r="H7" s="8">
        <v>49</v>
      </c>
      <c r="J7" s="7" t="s">
        <v>28</v>
      </c>
      <c r="K7" s="8">
        <v>66360</v>
      </c>
    </row>
    <row r="8" spans="1:11" x14ac:dyDescent="0.3">
      <c r="A8" s="7" t="s">
        <v>45</v>
      </c>
      <c r="B8" s="8">
        <v>364400</v>
      </c>
      <c r="G8" s="7" t="s">
        <v>33</v>
      </c>
      <c r="H8" s="8">
        <v>23</v>
      </c>
      <c r="J8" s="7" t="s">
        <v>25</v>
      </c>
      <c r="K8" s="8">
        <v>56280</v>
      </c>
    </row>
    <row r="9" spans="1:11" x14ac:dyDescent="0.3">
      <c r="G9" s="7" t="s">
        <v>27</v>
      </c>
      <c r="H9" s="8">
        <v>38</v>
      </c>
      <c r="J9" s="7" t="s">
        <v>45</v>
      </c>
      <c r="K9" s="8">
        <v>184880</v>
      </c>
    </row>
    <row r="10" spans="1:11" x14ac:dyDescent="0.3">
      <c r="G10" s="7" t="s">
        <v>35</v>
      </c>
      <c r="H10" s="8">
        <v>41</v>
      </c>
    </row>
    <row r="11" spans="1:11" x14ac:dyDescent="0.3">
      <c r="G11" s="7" t="s">
        <v>45</v>
      </c>
      <c r="H11" s="8">
        <v>37.166666666666664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1EE02-7E2B-4C7B-90C7-CF9F7A2D41DD}">
  <dimension ref="A1:A4"/>
  <sheetViews>
    <sheetView showGridLines="0" tabSelected="1" zoomScale="74" workbookViewId="0">
      <selection activeCell="AC4" sqref="AC4"/>
    </sheetView>
  </sheetViews>
  <sheetFormatPr defaultRowHeight="14.4" x14ac:dyDescent="0.3"/>
  <sheetData>
    <row r="1" customFormat="1" x14ac:dyDescent="0.3"/>
    <row r="2" customFormat="1" x14ac:dyDescent="0.3"/>
    <row r="3" customFormat="1" x14ac:dyDescent="0.3"/>
    <row r="4"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 Data</vt:lpstr>
      <vt:lpstr>Pivot Tables</vt:lpstr>
      <vt:lpstr>Chart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Taposi Howlader</dc:creator>
  <cp:lastModifiedBy>Taposi Howlader</cp:lastModifiedBy>
  <dcterms:created xsi:type="dcterms:W3CDTF">2025-06-17T11:16:01Z</dcterms:created>
  <dcterms:modified xsi:type="dcterms:W3CDTF">2025-06-23T06:15:50Z</dcterms:modified>
</cp:coreProperties>
</file>