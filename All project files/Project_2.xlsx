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aposi howlader\Documents\All project files\"/>
    </mc:Choice>
  </mc:AlternateContent>
  <xr:revisionPtr revIDLastSave="0" documentId="13_ncr:1_{BA8D6C69-EB16-4EC8-96CA-BECB9ADC4FEF}" xr6:coauthVersionLast="47" xr6:coauthVersionMax="47" xr10:uidLastSave="{00000000-0000-0000-0000-000000000000}"/>
  <bookViews>
    <workbookView xWindow="-108" yWindow="-108" windowWidth="23256" windowHeight="12456" activeTab="3" xr2:uid="{460F2F47-FFCD-4D90-9F52-C783073E9588}"/>
  </bookViews>
  <sheets>
    <sheet name="Data" sheetId="1" r:id="rId1"/>
    <sheet name="Pivot Table" sheetId="2" r:id="rId2"/>
    <sheet name="Charts" sheetId="3" r:id="rId3"/>
    <sheet name="Gantt Chart" sheetId="4" r:id="rId4"/>
  </sheets>
  <externalReferences>
    <externalReference r:id="rId5"/>
  </externalReferenc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E9" i="4"/>
  <c r="E8" i="4"/>
  <c r="E7" i="4"/>
  <c r="E6" i="4"/>
  <c r="K37" i="1"/>
  <c r="L37" i="1" s="1"/>
  <c r="G37" i="1"/>
  <c r="K36" i="1"/>
  <c r="L36" i="1" s="1"/>
  <c r="G36" i="1"/>
  <c r="K35" i="1"/>
  <c r="L35" i="1" s="1"/>
  <c r="G35" i="1"/>
  <c r="L34" i="1"/>
  <c r="K34" i="1"/>
  <c r="G34" i="1"/>
  <c r="K33" i="1"/>
  <c r="L33" i="1" s="1"/>
  <c r="G33" i="1"/>
  <c r="K32" i="1"/>
  <c r="L32" i="1" s="1"/>
  <c r="G32" i="1"/>
  <c r="K31" i="1"/>
  <c r="L31" i="1" s="1"/>
  <c r="G31" i="1"/>
  <c r="L30" i="1"/>
  <c r="M30" i="1" s="1"/>
  <c r="K30" i="1"/>
  <c r="G30" i="1"/>
  <c r="K29" i="1"/>
  <c r="L29" i="1" s="1"/>
  <c r="G29" i="1"/>
  <c r="K28" i="1"/>
  <c r="L28" i="1" s="1"/>
  <c r="G28" i="1"/>
  <c r="K27" i="1"/>
  <c r="L27" i="1" s="1"/>
  <c r="G27" i="1"/>
  <c r="L26" i="1"/>
  <c r="K26" i="1"/>
  <c r="G26" i="1"/>
  <c r="K25" i="1"/>
  <c r="L25" i="1" s="1"/>
  <c r="G25" i="1"/>
  <c r="K24" i="1"/>
  <c r="L24" i="1" s="1"/>
  <c r="G24" i="1"/>
  <c r="K23" i="1"/>
  <c r="L23" i="1" s="1"/>
  <c r="G23" i="1"/>
  <c r="L22" i="1"/>
  <c r="K22" i="1"/>
  <c r="G22" i="1"/>
  <c r="K21" i="1"/>
  <c r="L21" i="1" s="1"/>
  <c r="G21" i="1"/>
  <c r="K20" i="1"/>
  <c r="L20" i="1" s="1"/>
  <c r="G20" i="1"/>
  <c r="K19" i="1"/>
  <c r="L19" i="1" s="1"/>
  <c r="G19" i="1"/>
  <c r="L18" i="1"/>
  <c r="K18" i="1"/>
  <c r="G18" i="1"/>
  <c r="K17" i="1"/>
  <c r="L17" i="1" s="1"/>
  <c r="G17" i="1"/>
  <c r="K16" i="1"/>
  <c r="L16" i="1" s="1"/>
  <c r="G16" i="1"/>
  <c r="K15" i="1"/>
  <c r="L15" i="1" s="1"/>
  <c r="G15" i="1"/>
  <c r="L14" i="1"/>
  <c r="K14" i="1"/>
  <c r="G14" i="1"/>
  <c r="K13" i="1"/>
  <c r="L13" i="1" s="1"/>
  <c r="G13" i="1"/>
  <c r="K12" i="1"/>
  <c r="L12" i="1" s="1"/>
  <c r="G12" i="1"/>
  <c r="K11" i="1"/>
  <c r="L11" i="1" s="1"/>
  <c r="G11" i="1"/>
  <c r="L10" i="1"/>
  <c r="K10" i="1"/>
  <c r="G10" i="1"/>
  <c r="K9" i="1"/>
  <c r="L9" i="1" s="1"/>
  <c r="G9" i="1"/>
  <c r="K8" i="1"/>
  <c r="L8" i="1" s="1"/>
  <c r="G8" i="1"/>
  <c r="K7" i="1"/>
  <c r="L7" i="1" s="1"/>
  <c r="G7" i="1"/>
  <c r="L6" i="1"/>
  <c r="K6" i="1"/>
  <c r="G6" i="1"/>
  <c r="K5" i="1"/>
  <c r="L5" i="1" s="1"/>
  <c r="G5" i="1"/>
  <c r="K4" i="1"/>
  <c r="L4" i="1" s="1"/>
  <c r="G4" i="1"/>
  <c r="K3" i="1"/>
  <c r="L3" i="1" s="1"/>
  <c r="G3" i="1"/>
  <c r="L2" i="1"/>
  <c r="K2" i="1"/>
  <c r="G2" i="1"/>
  <c r="M7" i="1" l="1"/>
  <c r="M33" i="1"/>
  <c r="M9" i="1"/>
  <c r="M16" i="1"/>
  <c r="M23" i="1"/>
  <c r="M25" i="1"/>
  <c r="M32" i="1"/>
  <c r="M4" i="1"/>
  <c r="M11" i="1"/>
  <c r="M13" i="1"/>
  <c r="M20" i="1"/>
  <c r="M27" i="1"/>
  <c r="M29" i="1"/>
  <c r="M36" i="1"/>
  <c r="M8" i="1"/>
  <c r="M15" i="1"/>
  <c r="M17" i="1"/>
  <c r="M24" i="1"/>
  <c r="M31" i="1"/>
  <c r="M3" i="1"/>
  <c r="M5" i="1"/>
  <c r="M12" i="1"/>
  <c r="M19" i="1"/>
  <c r="M21" i="1"/>
  <c r="M28" i="1"/>
  <c r="M35" i="1"/>
  <c r="M37" i="1"/>
  <c r="M2" i="1"/>
  <c r="M10" i="1"/>
  <c r="M18" i="1"/>
  <c r="M26" i="1"/>
  <c r="M6" i="1"/>
  <c r="M14" i="1"/>
  <c r="M22" i="1"/>
  <c r="M34" i="1"/>
</calcChain>
</file>

<file path=xl/sharedStrings.xml><?xml version="1.0" encoding="utf-8"?>
<sst xmlns="http://schemas.openxmlformats.org/spreadsheetml/2006/main" count="94" uniqueCount="40">
  <si>
    <t>Months</t>
  </si>
  <si>
    <t>Department</t>
  </si>
  <si>
    <t>Raw Material Cost</t>
  </si>
  <si>
    <t>Labour Cost</t>
  </si>
  <si>
    <t>Establishment Cost</t>
  </si>
  <si>
    <t>Support Cost</t>
  </si>
  <si>
    <t>Total Cost</t>
  </si>
  <si>
    <t>Restaurant Sales</t>
  </si>
  <si>
    <t>Catering Services</t>
  </si>
  <si>
    <t>Buffet Services</t>
  </si>
  <si>
    <t>Total Revenue</t>
  </si>
  <si>
    <t>Gross Profit</t>
  </si>
  <si>
    <t>Taxes</t>
  </si>
  <si>
    <t>Net Profit</t>
  </si>
  <si>
    <t>Chinese Food</t>
  </si>
  <si>
    <t>Indian Food</t>
  </si>
  <si>
    <t>Continental Food</t>
  </si>
  <si>
    <t>Soft Drink</t>
  </si>
  <si>
    <t>Hard Drink</t>
  </si>
  <si>
    <t>Take Away (Online Orders)</t>
  </si>
  <si>
    <t>Grand Total</t>
  </si>
  <si>
    <t xml:space="preserve">Total Cost </t>
  </si>
  <si>
    <t xml:space="preserve">Month </t>
  </si>
  <si>
    <t>Total_Cost</t>
  </si>
  <si>
    <t>Sum of Net Profit</t>
  </si>
  <si>
    <t>Sl_No</t>
  </si>
  <si>
    <t>Task Details</t>
  </si>
  <si>
    <t xml:space="preserve">Start Date </t>
  </si>
  <si>
    <t>End Date</t>
  </si>
  <si>
    <t>Duration</t>
  </si>
  <si>
    <t>Task_1</t>
  </si>
  <si>
    <t xml:space="preserve">Finding a Location </t>
  </si>
  <si>
    <t>Task_2</t>
  </si>
  <si>
    <t>Construction Of Storage Facility</t>
  </si>
  <si>
    <t>Task_3</t>
  </si>
  <si>
    <t>Religing Purchase</t>
  </si>
  <si>
    <t>Task_4</t>
  </si>
  <si>
    <t>Hairing Cooking Staffs</t>
  </si>
  <si>
    <t>Task_5</t>
  </si>
  <si>
    <t xml:space="preserve">Final Mislaneaus Activity Befor Inogration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</si>
</sst>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"/>
    <numFmt numFmtId="165" formatCode="&quot;₹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masis MT Pro Black"/>
      <family val="1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" fontId="1" fillId="0" borderId="3" xfId="0" applyNumberFormat="1" applyFont="1" applyBorder="1" applyAlignment="1">
      <alignment horizontal="center" vertical="center"/>
    </xf>
    <xf numFmtId="17" fontId="1" fillId="0" borderId="4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17" fontId="1" fillId="0" borderId="5" xfId="0" applyNumberFormat="1" applyFont="1" applyBorder="1" applyAlignment="1">
      <alignment horizontal="center" vertical="center"/>
    </xf>
    <xf numFmtId="17" fontId="1" fillId="0" borderId="2" xfId="0" applyNumberFormat="1" applyFont="1" applyBorder="1" applyAlignment="1">
      <alignment horizontal="center" vertical="center"/>
    </xf>
    <xf numFmtId="17" fontId="1" fillId="0" borderId="6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8" xfId="0" applyBorder="1"/>
    <xf numFmtId="165" fontId="2" fillId="0" borderId="7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/>
    <xf numFmtId="165" fontId="2" fillId="0" borderId="13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20" xfId="0" applyBorder="1"/>
    <xf numFmtId="165" fontId="2" fillId="0" borderId="19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EE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accent5"/>
                </a:solidFill>
              </a:rPr>
              <a:t>Month Wise Department Total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Table'!$A$5:$A$11</c:f>
              <c:strCache>
                <c:ptCount val="6"/>
                <c:pt idx="0">
                  <c:v>Chinese Food</c:v>
                </c:pt>
                <c:pt idx="1">
                  <c:v>Continental Food</c:v>
                </c:pt>
                <c:pt idx="2">
                  <c:v>Hard Drink</c:v>
                </c:pt>
                <c:pt idx="3">
                  <c:v>Indian Food</c:v>
                </c:pt>
                <c:pt idx="4">
                  <c:v>Soft Drink</c:v>
                </c:pt>
                <c:pt idx="5">
                  <c:v>Take Away (Online Orders)</c:v>
                </c:pt>
              </c:strCache>
            </c:strRef>
          </c:cat>
          <c:val>
            <c:numRef>
              <c:f>'Pivot Table'!$B$5:$B$11</c:f>
              <c:numCache>
                <c:formatCode>"₹"\ #,##0.00</c:formatCode>
                <c:ptCount val="6"/>
                <c:pt idx="0">
                  <c:v>226300</c:v>
                </c:pt>
                <c:pt idx="1">
                  <c:v>230940</c:v>
                </c:pt>
                <c:pt idx="2">
                  <c:v>246300</c:v>
                </c:pt>
                <c:pt idx="3">
                  <c:v>250300</c:v>
                </c:pt>
                <c:pt idx="4">
                  <c:v>67100</c:v>
                </c:pt>
                <c:pt idx="5">
                  <c:v>97500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A-4991-84F3-18D49CF4388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Table'!$A$5:$A$11</c:f>
              <c:strCache>
                <c:ptCount val="6"/>
                <c:pt idx="0">
                  <c:v>Chinese Food</c:v>
                </c:pt>
                <c:pt idx="1">
                  <c:v>Continental Food</c:v>
                </c:pt>
                <c:pt idx="2">
                  <c:v>Hard Drink</c:v>
                </c:pt>
                <c:pt idx="3">
                  <c:v>Indian Food</c:v>
                </c:pt>
                <c:pt idx="4">
                  <c:v>Soft Drink</c:v>
                </c:pt>
                <c:pt idx="5">
                  <c:v>Take Away (Online Orders)</c:v>
                </c:pt>
              </c:strCache>
            </c:strRef>
          </c:cat>
          <c:val>
            <c:numRef>
              <c:f>'Pivot Table'!$C$5:$C$11</c:f>
              <c:numCache>
                <c:formatCode>"₹"\ #,##0.00</c:formatCode>
                <c:ptCount val="6"/>
                <c:pt idx="0">
                  <c:v>227895</c:v>
                </c:pt>
                <c:pt idx="1">
                  <c:v>232535</c:v>
                </c:pt>
                <c:pt idx="2">
                  <c:v>247895</c:v>
                </c:pt>
                <c:pt idx="3">
                  <c:v>251895</c:v>
                </c:pt>
                <c:pt idx="4">
                  <c:v>61390</c:v>
                </c:pt>
                <c:pt idx="5">
                  <c:v>110580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A-4991-84F3-18D49CF43889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Table'!$A$5:$A$11</c:f>
              <c:strCache>
                <c:ptCount val="6"/>
                <c:pt idx="0">
                  <c:v>Chinese Food</c:v>
                </c:pt>
                <c:pt idx="1">
                  <c:v>Continental Food</c:v>
                </c:pt>
                <c:pt idx="2">
                  <c:v>Hard Drink</c:v>
                </c:pt>
                <c:pt idx="3">
                  <c:v>Indian Food</c:v>
                </c:pt>
                <c:pt idx="4">
                  <c:v>Soft Drink</c:v>
                </c:pt>
                <c:pt idx="5">
                  <c:v>Take Away (Online Orders)</c:v>
                </c:pt>
              </c:strCache>
            </c:strRef>
          </c:cat>
          <c:val>
            <c:numRef>
              <c:f>'Pivot Table'!$D$5:$D$11</c:f>
              <c:numCache>
                <c:formatCode>"₹"\ #,##0.00</c:formatCode>
                <c:ptCount val="6"/>
                <c:pt idx="0">
                  <c:v>227305</c:v>
                </c:pt>
                <c:pt idx="1">
                  <c:v>231945</c:v>
                </c:pt>
                <c:pt idx="2">
                  <c:v>247305</c:v>
                </c:pt>
                <c:pt idx="3">
                  <c:v>251305</c:v>
                </c:pt>
                <c:pt idx="4">
                  <c:v>60580</c:v>
                </c:pt>
                <c:pt idx="5">
                  <c:v>82700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1A-4991-84F3-18D49CF43889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Table'!$A$5:$A$11</c:f>
              <c:strCache>
                <c:ptCount val="6"/>
                <c:pt idx="0">
                  <c:v>Chinese Food</c:v>
                </c:pt>
                <c:pt idx="1">
                  <c:v>Continental Food</c:v>
                </c:pt>
                <c:pt idx="2">
                  <c:v>Hard Drink</c:v>
                </c:pt>
                <c:pt idx="3">
                  <c:v>Indian Food</c:v>
                </c:pt>
                <c:pt idx="4">
                  <c:v>Soft Drink</c:v>
                </c:pt>
                <c:pt idx="5">
                  <c:v>Take Away (Online Orders)</c:v>
                </c:pt>
              </c:strCache>
            </c:strRef>
          </c:cat>
          <c:val>
            <c:numRef>
              <c:f>'Pivot Table'!$E$5:$E$11</c:f>
              <c:numCache>
                <c:formatCode>"₹"\ #,##0.00</c:formatCode>
                <c:ptCount val="6"/>
                <c:pt idx="0">
                  <c:v>224890</c:v>
                </c:pt>
                <c:pt idx="1">
                  <c:v>229530</c:v>
                </c:pt>
                <c:pt idx="2">
                  <c:v>244890</c:v>
                </c:pt>
                <c:pt idx="3">
                  <c:v>248890</c:v>
                </c:pt>
                <c:pt idx="4">
                  <c:v>85500</c:v>
                </c:pt>
                <c:pt idx="5">
                  <c:v>80850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1A-4991-84F3-18D49CF43889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Table'!$A$5:$A$11</c:f>
              <c:strCache>
                <c:ptCount val="6"/>
                <c:pt idx="0">
                  <c:v>Chinese Food</c:v>
                </c:pt>
                <c:pt idx="1">
                  <c:v>Continental Food</c:v>
                </c:pt>
                <c:pt idx="2">
                  <c:v>Hard Drink</c:v>
                </c:pt>
                <c:pt idx="3">
                  <c:v>Indian Food</c:v>
                </c:pt>
                <c:pt idx="4">
                  <c:v>Soft Drink</c:v>
                </c:pt>
                <c:pt idx="5">
                  <c:v>Take Away (Online Orders)</c:v>
                </c:pt>
              </c:strCache>
            </c:strRef>
          </c:cat>
          <c:val>
            <c:numRef>
              <c:f>'Pivot Table'!$F$5:$F$11</c:f>
              <c:numCache>
                <c:formatCode>"₹"\ #,##0.00</c:formatCode>
                <c:ptCount val="6"/>
                <c:pt idx="0">
                  <c:v>212420</c:v>
                </c:pt>
                <c:pt idx="1">
                  <c:v>217060</c:v>
                </c:pt>
                <c:pt idx="2">
                  <c:v>232420</c:v>
                </c:pt>
                <c:pt idx="3">
                  <c:v>236420</c:v>
                </c:pt>
                <c:pt idx="4">
                  <c:v>113300</c:v>
                </c:pt>
                <c:pt idx="5">
                  <c:v>70120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1A-4991-84F3-18D49CF43889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Table'!$A$5:$A$11</c:f>
              <c:strCache>
                <c:ptCount val="6"/>
                <c:pt idx="0">
                  <c:v>Chinese Food</c:v>
                </c:pt>
                <c:pt idx="1">
                  <c:v>Continental Food</c:v>
                </c:pt>
                <c:pt idx="2">
                  <c:v>Hard Drink</c:v>
                </c:pt>
                <c:pt idx="3">
                  <c:v>Indian Food</c:v>
                </c:pt>
                <c:pt idx="4">
                  <c:v>Soft Drink</c:v>
                </c:pt>
                <c:pt idx="5">
                  <c:v>Take Away (Online Orders)</c:v>
                </c:pt>
              </c:strCache>
            </c:strRef>
          </c:cat>
          <c:val>
            <c:numRef>
              <c:f>'Pivot Table'!$G$5:$G$11</c:f>
              <c:numCache>
                <c:formatCode>"₹"\ #,##0.00</c:formatCode>
                <c:ptCount val="6"/>
                <c:pt idx="0">
                  <c:v>189700</c:v>
                </c:pt>
                <c:pt idx="1">
                  <c:v>194340</c:v>
                </c:pt>
                <c:pt idx="2">
                  <c:v>209700</c:v>
                </c:pt>
                <c:pt idx="3">
                  <c:v>213700</c:v>
                </c:pt>
                <c:pt idx="4">
                  <c:v>143500</c:v>
                </c:pt>
                <c:pt idx="5">
                  <c:v>105400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1A-4991-84F3-18D49CF438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2933231"/>
        <c:axId val="353320431"/>
      </c:barChart>
      <c:catAx>
        <c:axId val="382933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05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320431"/>
        <c:crosses val="autoZero"/>
        <c:auto val="1"/>
        <c:lblAlgn val="ctr"/>
        <c:lblOffset val="100"/>
        <c:noMultiLvlLbl val="0"/>
      </c:catAx>
      <c:valAx>
        <c:axId val="353320431"/>
        <c:scaling>
          <c:orientation val="minMax"/>
        </c:scaling>
        <c:delete val="0"/>
        <c:axPos val="l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93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[Project_2.xlsx]Pivot Table!PivotTable4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Department wise total cost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1367521367521368E-2"/>
              <c:y val="-0.110963160230803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3741690408357946E-3"/>
              <c:y val="5.7700843320017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1225071225071226E-3"/>
              <c:y val="-8.43320017754105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3741690408355335E-3"/>
              <c:y val="-4.43852640923212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4.43852640923213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1367521367521368E-2"/>
              <c:y val="-0.110963160230803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3741690408357946E-3"/>
              <c:y val="5.7700843320017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1225071225071226E-3"/>
              <c:y val="-8.43320017754105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4.43852640923213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3741690408355335E-3"/>
              <c:y val="-4.43852640923212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263819930148377E-3"/>
              <c:y val="-0.142032845095428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3741690408357946E-3"/>
              <c:y val="5.77008433200177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1225071225071226E-3"/>
              <c:y val="-8.43320017754105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4.43852640923213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3741690408355335E-3"/>
              <c:y val="-4.43852640923212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1F-418F-8584-D8A523C991D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1F-418F-8584-D8A523C991D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1F-418F-8584-D8A523C991D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1F-418F-8584-D8A523C991D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1F-418F-8584-D8A523C991D4}"/>
              </c:ext>
            </c:extLst>
          </c:dPt>
          <c:dLbls>
            <c:dLbl>
              <c:idx val="1"/>
              <c:layout>
                <c:manualLayout>
                  <c:x val="4.263819930148377E-3"/>
                  <c:y val="-0.1420328450954283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1F-418F-8584-D8A523C991D4}"/>
                </c:ext>
              </c:extLst>
            </c:dLbl>
            <c:dLbl>
              <c:idx val="2"/>
              <c:layout>
                <c:manualLayout>
                  <c:x val="-2.3741690408357946E-3"/>
                  <c:y val="5.77008433200177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1F-418F-8584-D8A523C991D4}"/>
                </c:ext>
              </c:extLst>
            </c:dLbl>
            <c:dLbl>
              <c:idx val="3"/>
              <c:layout>
                <c:manualLayout>
                  <c:x val="7.1225071225071226E-3"/>
                  <c:y val="-8.43320017754105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1F-418F-8584-D8A523C991D4}"/>
                </c:ext>
              </c:extLst>
            </c:dLbl>
            <c:dLbl>
              <c:idx val="4"/>
              <c:layout>
                <c:manualLayout>
                  <c:x val="0"/>
                  <c:y val="4.438526409232135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1F-418F-8584-D8A523C991D4}"/>
                </c:ext>
              </c:extLst>
            </c:dLbl>
            <c:dLbl>
              <c:idx val="5"/>
              <c:layout>
                <c:manualLayout>
                  <c:x val="2.3741690408355335E-3"/>
                  <c:y val="-4.438526409232126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1F-418F-8584-D8A523C991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Table'!$J$4:$J$10</c:f>
              <c:strCache>
                <c:ptCount val="6"/>
                <c:pt idx="0">
                  <c:v>Chinese Food</c:v>
                </c:pt>
                <c:pt idx="1">
                  <c:v>Continental Food</c:v>
                </c:pt>
                <c:pt idx="2">
                  <c:v>Hard Drink</c:v>
                </c:pt>
                <c:pt idx="3">
                  <c:v>Indian Food</c:v>
                </c:pt>
                <c:pt idx="4">
                  <c:v>Soft Drink</c:v>
                </c:pt>
                <c:pt idx="5">
                  <c:v>Take Away (Online Orders)</c:v>
                </c:pt>
              </c:strCache>
            </c:strRef>
          </c:cat>
          <c:val>
            <c:numRef>
              <c:f>'Pivot Table'!$K$4:$K$10</c:f>
              <c:numCache>
                <c:formatCode>"₹"\ #,##0.00</c:formatCode>
                <c:ptCount val="6"/>
                <c:pt idx="0">
                  <c:v>1308510</c:v>
                </c:pt>
                <c:pt idx="1">
                  <c:v>1336350</c:v>
                </c:pt>
                <c:pt idx="2">
                  <c:v>1428510</c:v>
                </c:pt>
                <c:pt idx="3">
                  <c:v>1452510</c:v>
                </c:pt>
                <c:pt idx="4">
                  <c:v>531370</c:v>
                </c:pt>
                <c:pt idx="5">
                  <c:v>547150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1F-418F-8584-D8A523C991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0219407"/>
        <c:axId val="1090214127"/>
      </c:barChart>
      <c:catAx>
        <c:axId val="109021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14127"/>
        <c:crosses val="autoZero"/>
        <c:auto val="1"/>
        <c:lblAlgn val="ctr"/>
        <c:lblOffset val="100"/>
        <c:noMultiLvlLbl val="0"/>
      </c:catAx>
      <c:valAx>
        <c:axId val="1090214127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1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[Project_2.xlsx]Pivot 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Department</a:t>
            </a:r>
            <a:r>
              <a:rPr lang="en-US" b="1" baseline="0">
                <a:solidFill>
                  <a:schemeClr val="accent5"/>
                </a:solidFill>
              </a:rPr>
              <a:t> wise Net Profit</a:t>
            </a:r>
            <a:endParaRPr lang="en-US" b="1">
              <a:solidFill>
                <a:schemeClr val="accent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7777777777778286E-3"/>
              <c:y val="-0.120370370370370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7777777777778286E-3"/>
              <c:y val="-0.120370370370370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7777777777778286E-3"/>
              <c:y val="-0.120370370370370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BD6-45A0-BC9F-17E7F34DBC8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D6-45A0-BC9F-17E7F34DBC89}"/>
              </c:ext>
            </c:extLst>
          </c:dPt>
          <c:dLbls>
            <c:dLbl>
              <c:idx val="0"/>
              <c:layout>
                <c:manualLayout>
                  <c:x val="0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D6-45A0-BC9F-17E7F34DBC89}"/>
                </c:ext>
              </c:extLst>
            </c:dLbl>
            <c:dLbl>
              <c:idx val="1"/>
              <c:layout>
                <c:manualLayout>
                  <c:x val="-2.7777777777778286E-3"/>
                  <c:y val="-0.1203703703703703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D6-45A0-BC9F-17E7F34DBC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Table'!$M$4:$M$10</c:f>
              <c:strCache>
                <c:ptCount val="6"/>
                <c:pt idx="0">
                  <c:v>Chinese Food</c:v>
                </c:pt>
                <c:pt idx="1">
                  <c:v>Continental Food</c:v>
                </c:pt>
                <c:pt idx="2">
                  <c:v>Hard Drink</c:v>
                </c:pt>
                <c:pt idx="3">
                  <c:v>Indian Food</c:v>
                </c:pt>
                <c:pt idx="4">
                  <c:v>Soft Drink</c:v>
                </c:pt>
                <c:pt idx="5">
                  <c:v>Take Away (Online Orders)</c:v>
                </c:pt>
              </c:strCache>
            </c:strRef>
          </c:cat>
          <c:val>
            <c:numRef>
              <c:f>'Pivot Table'!$N$4:$N$10</c:f>
              <c:numCache>
                <c:formatCode>"₹"\ #,##0.00</c:formatCode>
                <c:ptCount val="6"/>
                <c:pt idx="0">
                  <c:v>123815.25</c:v>
                </c:pt>
                <c:pt idx="1">
                  <c:v>117029.25</c:v>
                </c:pt>
                <c:pt idx="2">
                  <c:v>1849565.25</c:v>
                </c:pt>
                <c:pt idx="3">
                  <c:v>88715.25</c:v>
                </c:pt>
                <c:pt idx="4">
                  <c:v>723615.75</c:v>
                </c:pt>
                <c:pt idx="5">
                  <c:v>197164.5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D6-45A0-BC9F-17E7F34DBC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2931791"/>
        <c:axId val="382932751"/>
      </c:barChart>
      <c:catAx>
        <c:axId val="38293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932751"/>
        <c:crosses val="autoZero"/>
        <c:auto val="1"/>
        <c:lblAlgn val="ctr"/>
        <c:lblOffset val="100"/>
        <c:noMultiLvlLbl val="0"/>
      </c:catAx>
      <c:valAx>
        <c:axId val="382932751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93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Task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'[1]Gann Chart'!$C$5</c:f>
              <c:strCache>
                <c:ptCount val="1"/>
                <c:pt idx="0">
                  <c:v>Start Date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'[1]Gann Chart'!$B$6:$B$10</c:f>
              <c:strCache>
                <c:ptCount val="5"/>
                <c:pt idx="0">
                  <c:v>Finding a Location </c:v>
                </c:pt>
                <c:pt idx="1">
                  <c:v>Construction Of Storage Facility</c:v>
                </c:pt>
                <c:pt idx="2">
                  <c:v>Religing Purchase</c:v>
                </c:pt>
                <c:pt idx="3">
                  <c:v>Hairing Cooking Staffs</c:v>
                </c:pt>
                <c:pt idx="4">
                  <c:v>Final Mislaneaus Activity Befor Inogration </c:v>
                </c:pt>
              </c:strCache>
            </c:strRef>
          </c:cat>
          <c:val>
            <c:numRef>
              <c:f>'[1]Gann Chart'!$C$6:$C$10</c:f>
              <c:numCache>
                <c:formatCode>General</c:formatCode>
                <c:ptCount val="5"/>
                <c:pt idx="0">
                  <c:v>45932</c:v>
                </c:pt>
                <c:pt idx="1">
                  <c:v>45939</c:v>
                </c:pt>
                <c:pt idx="2">
                  <c:v>45946</c:v>
                </c:pt>
                <c:pt idx="3">
                  <c:v>45953</c:v>
                </c:pt>
                <c:pt idx="4">
                  <c:v>45960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0-4E4B-AC64-0D94599876FD}"/>
            </c:ext>
          </c:extLst>
        </c:ser>
        <c:ser>
          <c:idx val="1"/>
          <c:order val="1"/>
          <c:tx>
            <c:strRef>
              <c:f>'[1]Gann Chart'!$E$5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'[1]Gann Chart'!$E$6:$E$10</c:f>
              <c:numCache>
                <c:formatCode>General</c:formatCode>
                <c:ptCount val="5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0-4E4B-AC64-0D9459987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0120351"/>
        <c:axId val="1090117471"/>
      </c:barChart>
      <c:catAx>
        <c:axId val="109012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17471"/>
        <c:crosses val="autoZero"/>
        <c:auto val="1"/>
        <c:lblAlgn val="ctr"/>
        <c:lblOffset val="100"/>
        <c:noMultiLvlLbl val="0"/>
      </c:catAx>
      <c:valAx>
        <c:axId val="1090117471"/>
        <c:scaling>
          <c:orientation val="minMax"/>
          <c:max val="45981"/>
          <c:min val="4593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2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181428</xdr:rowOff>
    </xdr:from>
    <xdr:to>
      <xdr:col>33</xdr:col>
      <xdr:colOff>302381</xdr:colOff>
      <xdr:row>28</xdr:row>
      <xdr:rowOff>175845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FFDB3-1871-4BD4-B403-096E8B2C58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168309</xdr:rowOff>
    </xdr:from>
    <xdr:to>
      <xdr:col>18</xdr:col>
      <xdr:colOff>520096</xdr:colOff>
      <xdr:row>48</xdr:row>
      <xdr:rowOff>144517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93A138-F212-437A-8770-F18FF441A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411965</xdr:colOff>
      <xdr:row>29</xdr:row>
      <xdr:rowOff>4573</xdr:rowOff>
    </xdr:from>
    <xdr:to>
      <xdr:col>33</xdr:col>
      <xdr:colOff>223036</xdr:colOff>
      <xdr:row>48</xdr:row>
      <xdr:rowOff>144517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521334-4644-4B5F-BA4F-5BFE7E7CC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0</xdr:colOff>
      <xdr:row>0</xdr:row>
      <xdr:rowOff>38561</xdr:rowOff>
    </xdr:from>
    <xdr:ext cx="20283714" cy="1051051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F3BB20D-BCFA-8C59-A523-F80B8B460764}"/>
            </a:ext>
          </a:extLst>
        </xdr:cNvPr>
        <xdr:cNvSpPr/>
      </xdr:nvSpPr>
      <xdr:spPr>
        <a:xfrm>
          <a:off x="0" y="38561"/>
          <a:ext cx="20283714" cy="10510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400" b="1" cap="none" spc="50">
              <a:ln w="0"/>
              <a:solidFill>
                <a:schemeClr val="accent5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Departments</a:t>
          </a:r>
          <a:r>
            <a:rPr lang="en-US" sz="5400" b="1" cap="none" spc="50">
              <a:ln w="0"/>
              <a:solidFill>
                <a:schemeClr val="accent5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Montly Cost And Profit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10</xdr:row>
      <xdr:rowOff>171450</xdr:rowOff>
    </xdr:from>
    <xdr:to>
      <xdr:col>4</xdr:col>
      <xdr:colOff>1964675</xdr:colOff>
      <xdr:row>31</xdr:row>
      <xdr:rowOff>55085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D68C38-802B-49E4-B28D-7341EDA80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15240</xdr:colOff>
      <xdr:row>0</xdr:row>
      <xdr:rowOff>22643</xdr:rowOff>
    </xdr:from>
    <xdr:ext cx="11612880" cy="708877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A29B299-2AE7-4C94-BF67-1E5E18DCD569}"/>
            </a:ext>
          </a:extLst>
        </xdr:cNvPr>
        <xdr:cNvSpPr/>
      </xdr:nvSpPr>
      <xdr:spPr>
        <a:xfrm>
          <a:off x="15240" y="22643"/>
          <a:ext cx="11612880" cy="70887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txBody>
        <a:bodyPr wrap="square" lIns="91440" tIns="45720" rIns="91440" bIns="45720">
          <a:no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en-US" sz="4400" b="1" cap="none" spc="0">
              <a:ln/>
              <a:solidFill>
                <a:schemeClr val="accent3">
                  <a:lumMod val="50000"/>
                </a:schemeClr>
              </a:solidFill>
              <a:effectLst/>
            </a:rPr>
            <a:t>Gantt Chart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posi%20howlader\Documents\All%20project%20files\Gan%20Chat.xlsx" TargetMode="External"/><Relationship Id="rId1" Type="http://schemas.openxmlformats.org/officeDocument/2006/relationships/externalLinkPath" Target="Gan%20Ch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nn Chart"/>
    </sheetNames>
    <sheetDataSet>
      <sheetData sheetId="0">
        <row r="5">
          <cell r="C5" t="str">
            <v xml:space="preserve">Start Date </v>
          </cell>
          <cell r="E5" t="str">
            <v>Duration</v>
          </cell>
        </row>
        <row r="6">
          <cell r="B6" t="str">
            <v xml:space="preserve">Finding a Location </v>
          </cell>
          <cell r="C6">
            <v>45932</v>
          </cell>
          <cell r="E6">
            <v>5</v>
          </cell>
        </row>
        <row r="7">
          <cell r="B7" t="str">
            <v>Construction Of Storage Facility</v>
          </cell>
          <cell r="C7">
            <v>45939</v>
          </cell>
          <cell r="E7">
            <v>8</v>
          </cell>
        </row>
        <row r="8">
          <cell r="B8" t="str">
            <v>Religing Purchase</v>
          </cell>
          <cell r="C8">
            <v>45946</v>
          </cell>
          <cell r="E8">
            <v>11</v>
          </cell>
        </row>
        <row r="9">
          <cell r="B9" t="str">
            <v>Hairing Cooking Staffs</v>
          </cell>
          <cell r="C9">
            <v>45953</v>
          </cell>
          <cell r="E9">
            <v>14</v>
          </cell>
        </row>
        <row r="10">
          <cell r="B10" t="str">
            <v xml:space="preserve">Final Mislaneaus Activity Befor Inogration </v>
          </cell>
          <cell r="C10">
            <v>45960</v>
          </cell>
          <cell r="E10">
            <v>17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posi howlader" refreshedDate="45824.524104745367" createdVersion="8" refreshedVersion="8" minRefreshableVersion="3" recordCount="36" xr:uid="{CBDC5E0B-B55E-41D1-895D-18A848648C8A}">
  <cacheSource type="worksheet">
    <worksheetSource ref="A1:N37" sheet="Data"/>
  </cacheSource>
  <cacheFields count="16">
    <cacheField name="Months" numFmtId="164">
      <sharedItems containsSemiMixedTypes="0" containsNonDate="0" containsDate="1" containsString="0" minDate="2025-01-01T00:00:00" maxDate="2025-06-02T00:00:00" count="6">
        <d v="2025-01-01T00:00:00"/>
        <d v="2025-02-01T00:00:00"/>
        <d v="2025-03-01T00:00:00"/>
        <d v="2025-04-01T00:00:00"/>
        <d v="2025-05-01T00:00:00"/>
        <d v="2025-06-01T00:00:00"/>
      </sharedItems>
      <fieldGroup par="15"/>
    </cacheField>
    <cacheField name="Department" numFmtId="0">
      <sharedItems count="6">
        <s v="Chinese Food"/>
        <s v="Indian Food"/>
        <s v="Continental Food"/>
        <s v="Soft Drink"/>
        <s v="Hard Drink"/>
        <s v="Take Away (Online Orders)"/>
      </sharedItems>
    </cacheField>
    <cacheField name="Raw Material Cost" numFmtId="165">
      <sharedItems containsSemiMixedTypes="0" containsString="0" containsNumber="1" containsInteger="1" minValue="41980" maxValue="158645"/>
    </cacheField>
    <cacheField name="Labour Cost" numFmtId="165">
      <sharedItems containsSemiMixedTypes="0" containsString="0" containsNumber="1" containsInteger="1" minValue="4900" maxValue="61000"/>
    </cacheField>
    <cacheField name="Establishment Cost" numFmtId="165">
      <sharedItems containsSemiMixedTypes="0" containsString="0" containsNumber="1" containsInteger="1" minValue="1200" maxValue="30500"/>
    </cacheField>
    <cacheField name="Support Cost" numFmtId="165">
      <sharedItems containsSemiMixedTypes="0" containsString="0" containsNumber="1" containsInteger="1" minValue="4500" maxValue="20800"/>
    </cacheField>
    <cacheField name="Total Cost" numFmtId="165">
      <sharedItems containsSemiMixedTypes="0" containsString="0" containsNumber="1" containsInteger="1" minValue="60580" maxValue="251895"/>
    </cacheField>
    <cacheField name="Restaurant Sales" numFmtId="165">
      <sharedItems containsSemiMixedTypes="0" containsString="0" containsNumber="1" containsInteger="1" minValue="75890" maxValue="729000"/>
    </cacheField>
    <cacheField name="Catering Services" numFmtId="165">
      <sharedItems containsSemiMixedTypes="0" containsString="0" containsNumber="1" containsInteger="1" minValue="0" maxValue="81000"/>
    </cacheField>
    <cacheField name="Buffet Services" numFmtId="165">
      <sharedItems containsSemiMixedTypes="0" containsString="0" containsNumber="1" containsInteger="1" minValue="0" maxValue="78000"/>
    </cacheField>
    <cacheField name="Total Revenue" numFmtId="165">
      <sharedItems containsSemiMixedTypes="0" containsString="0" containsNumber="1" containsInteger="1" minValue="75890" maxValue="786000"/>
    </cacheField>
    <cacheField name="Gross Profit" numFmtId="165">
      <sharedItems containsSemiMixedTypes="0" containsString="0" containsNumber="1" containsInteger="1" minValue="-25305" maxValue="576300"/>
    </cacheField>
    <cacheField name="Taxes" numFmtId="165">
      <sharedItems containsSemiMixedTypes="0" containsString="0" containsNumber="1" minValue="-632.625" maxValue="14407.5"/>
    </cacheField>
    <cacheField name="Net Profit" numFmtId="165">
      <sharedItems containsSemiMixedTypes="0" containsString="0" containsNumber="1" minValue="-24672.375" maxValue="561892.5"/>
    </cacheField>
    <cacheField name="Days (Months)" numFmtId="0" databaseField="0">
      <fieldGroup base="0">
        <rangePr groupBy="days" startDate="2025-01-01T00:00:00" endDate="2025-06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6-2025"/>
        </groupItems>
      </fieldGroup>
    </cacheField>
    <cacheField name="Months (Months)" numFmtId="0" databaseField="0">
      <fieldGroup base="0">
        <rangePr groupBy="months" startDate="2025-01-01T00:00:00" endDate="2025-06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135600"/>
    <n v="55000"/>
    <n v="24500"/>
    <n v="11200"/>
    <n v="226300"/>
    <n v="150000"/>
    <n v="75000"/>
    <n v="50000"/>
    <n v="275000"/>
    <n v="48700"/>
    <n v="1217.5"/>
    <n v="47482.5"/>
  </r>
  <r>
    <x v="0"/>
    <x v="1"/>
    <n v="141600"/>
    <n v="61000"/>
    <n v="30500"/>
    <n v="17200"/>
    <n v="250300"/>
    <n v="156000"/>
    <n v="81000"/>
    <n v="56000"/>
    <n v="293000"/>
    <n v="42700"/>
    <n v="1067.5"/>
    <n v="41632.5"/>
  </r>
  <r>
    <x v="0"/>
    <x v="2"/>
    <n v="136760"/>
    <n v="56160"/>
    <n v="25660"/>
    <n v="12360"/>
    <n v="230940"/>
    <n v="151160"/>
    <n v="76160"/>
    <n v="51160"/>
    <n v="278480"/>
    <n v="47540"/>
    <n v="1188.5"/>
    <n v="46351.5"/>
  </r>
  <r>
    <x v="0"/>
    <x v="3"/>
    <n v="55100"/>
    <n v="5000"/>
    <n v="2500"/>
    <n v="4500"/>
    <n v="67100"/>
    <n v="115000"/>
    <n v="16000"/>
    <n v="12500"/>
    <n v="143500"/>
    <n v="76400"/>
    <n v="1910"/>
    <n v="74490"/>
  </r>
  <r>
    <x v="0"/>
    <x v="4"/>
    <n v="140600"/>
    <n v="60000"/>
    <n v="29500"/>
    <n v="16200"/>
    <n v="246300"/>
    <n v="555000"/>
    <n v="80000"/>
    <n v="55000"/>
    <n v="690000"/>
    <n v="443700"/>
    <n v="11092.5"/>
    <n v="432607.5"/>
  </r>
  <r>
    <x v="0"/>
    <x v="5"/>
    <n v="75800"/>
    <n v="7800"/>
    <n v="1500"/>
    <n v="12400"/>
    <n v="97500"/>
    <n v="115000"/>
    <n v="0"/>
    <n v="0"/>
    <n v="115000"/>
    <n v="17500"/>
    <n v="437.5"/>
    <n v="17062.5"/>
  </r>
  <r>
    <x v="1"/>
    <x v="0"/>
    <n v="152645"/>
    <n v="55000"/>
    <n v="14650"/>
    <n v="5600"/>
    <n v="227895"/>
    <n v="175000"/>
    <n v="25000"/>
    <n v="72000"/>
    <n v="272000"/>
    <n v="44105"/>
    <n v="1102.625"/>
    <n v="43002.375"/>
  </r>
  <r>
    <x v="1"/>
    <x v="1"/>
    <n v="158645"/>
    <n v="61000"/>
    <n v="20650"/>
    <n v="11600"/>
    <n v="251895"/>
    <n v="181000"/>
    <n v="31000"/>
    <n v="78000"/>
    <n v="290000"/>
    <n v="38105"/>
    <n v="952.625"/>
    <n v="37152.375"/>
  </r>
  <r>
    <x v="1"/>
    <x v="2"/>
    <n v="153805"/>
    <n v="56160"/>
    <n v="15810"/>
    <n v="6760"/>
    <n v="232535"/>
    <n v="176160"/>
    <n v="26160"/>
    <n v="73160"/>
    <n v="275480"/>
    <n v="42945"/>
    <n v="1073.625"/>
    <n v="41871.375"/>
  </r>
  <r>
    <x v="1"/>
    <x v="3"/>
    <n v="45890"/>
    <n v="6500"/>
    <n v="3500"/>
    <n v="5500"/>
    <n v="61390"/>
    <n v="189000"/>
    <n v="17800"/>
    <n v="13650"/>
    <n v="220450"/>
    <n v="159060"/>
    <n v="3976.5"/>
    <n v="155083.5"/>
  </r>
  <r>
    <x v="1"/>
    <x v="4"/>
    <n v="157645"/>
    <n v="60000"/>
    <n v="19650"/>
    <n v="10600"/>
    <n v="247895"/>
    <n v="380000"/>
    <n v="30000"/>
    <n v="77000"/>
    <n v="487000"/>
    <n v="239105"/>
    <n v="5977.625"/>
    <n v="233127.375"/>
  </r>
  <r>
    <x v="1"/>
    <x v="5"/>
    <n v="89650"/>
    <n v="8500"/>
    <n v="1200"/>
    <n v="11230"/>
    <n v="110580"/>
    <n v="90150"/>
    <n v="0"/>
    <n v="0"/>
    <n v="90150"/>
    <n v="-20430"/>
    <n v="-510.75"/>
    <n v="-19919.25"/>
  </r>
  <r>
    <x v="2"/>
    <x v="0"/>
    <n v="148925"/>
    <n v="55000"/>
    <n v="13580"/>
    <n v="9800"/>
    <n v="227305"/>
    <n v="115000"/>
    <n v="23000"/>
    <n v="70000"/>
    <n v="208000"/>
    <n v="-19305"/>
    <n v="-482.625"/>
    <n v="-18822.375"/>
  </r>
  <r>
    <x v="2"/>
    <x v="1"/>
    <n v="154925"/>
    <n v="61000"/>
    <n v="19580"/>
    <n v="15800"/>
    <n v="251305"/>
    <n v="121000"/>
    <n v="29000"/>
    <n v="76000"/>
    <n v="226000"/>
    <n v="-25305"/>
    <n v="-632.625"/>
    <n v="-24672.375"/>
  </r>
  <r>
    <x v="2"/>
    <x v="2"/>
    <n v="150085"/>
    <n v="56160"/>
    <n v="14740"/>
    <n v="10960"/>
    <n v="231945"/>
    <n v="116160"/>
    <n v="24160"/>
    <n v="71160"/>
    <n v="211480"/>
    <n v="-20465"/>
    <n v="-511.625"/>
    <n v="-19953.375"/>
  </r>
  <r>
    <x v="2"/>
    <x v="3"/>
    <n v="41980"/>
    <n v="7500"/>
    <n v="4600"/>
    <n v="6500"/>
    <n v="60580"/>
    <n v="161850"/>
    <n v="23000"/>
    <n v="16890"/>
    <n v="201740"/>
    <n v="141160"/>
    <n v="3529"/>
    <n v="137631"/>
  </r>
  <r>
    <x v="2"/>
    <x v="4"/>
    <n v="153925"/>
    <n v="60000"/>
    <n v="18580"/>
    <n v="14800"/>
    <n v="247305"/>
    <n v="420000"/>
    <n v="28000"/>
    <n v="75000"/>
    <n v="523000"/>
    <n v="275695"/>
    <n v="6892.375"/>
    <n v="268802.625"/>
  </r>
  <r>
    <x v="2"/>
    <x v="5"/>
    <n v="61540"/>
    <n v="6580"/>
    <n v="1800"/>
    <n v="12780"/>
    <n v="82700"/>
    <n v="178900"/>
    <n v="0"/>
    <n v="0"/>
    <n v="178900"/>
    <n v="96200"/>
    <n v="2405"/>
    <n v="93795"/>
  </r>
  <r>
    <x v="3"/>
    <x v="0"/>
    <n v="146230"/>
    <n v="55000"/>
    <n v="13460"/>
    <n v="10200"/>
    <n v="224890"/>
    <n v="189000"/>
    <n v="21500"/>
    <n v="65000"/>
    <n v="275500"/>
    <n v="50610"/>
    <n v="1265.25"/>
    <n v="49344.75"/>
  </r>
  <r>
    <x v="3"/>
    <x v="1"/>
    <n v="152230"/>
    <n v="61000"/>
    <n v="19460"/>
    <n v="16200"/>
    <n v="248890"/>
    <n v="195000"/>
    <n v="27500"/>
    <n v="71000"/>
    <n v="293500"/>
    <n v="44610"/>
    <n v="1115.25"/>
    <n v="43494.75"/>
  </r>
  <r>
    <x v="3"/>
    <x v="2"/>
    <n v="147390"/>
    <n v="56160"/>
    <n v="14620"/>
    <n v="11360"/>
    <n v="229530"/>
    <n v="190160"/>
    <n v="22660"/>
    <n v="66160"/>
    <n v="278980"/>
    <n v="49450"/>
    <n v="1236.25"/>
    <n v="48213.75"/>
  </r>
  <r>
    <x v="3"/>
    <x v="3"/>
    <n v="65000"/>
    <n v="4900"/>
    <n v="7800"/>
    <n v="7800"/>
    <n v="85500"/>
    <n v="125000"/>
    <n v="25000"/>
    <n v="17450"/>
    <n v="167450"/>
    <n v="81950"/>
    <n v="2048.75"/>
    <n v="79901.25"/>
  </r>
  <r>
    <x v="3"/>
    <x v="4"/>
    <n v="151230"/>
    <n v="60000"/>
    <n v="18460"/>
    <n v="15200"/>
    <n v="244890"/>
    <n v="294000"/>
    <n v="26500"/>
    <n v="70000"/>
    <n v="390500"/>
    <n v="145610"/>
    <n v="3640.25"/>
    <n v="141969.75"/>
  </r>
  <r>
    <x v="3"/>
    <x v="5"/>
    <n v="59850"/>
    <n v="7400"/>
    <n v="1950"/>
    <n v="11650"/>
    <n v="80850"/>
    <n v="75890"/>
    <n v="0"/>
    <n v="0"/>
    <n v="75890"/>
    <n v="-4960"/>
    <n v="-124"/>
    <n v="-4836"/>
  </r>
  <r>
    <x v="4"/>
    <x v="0"/>
    <n v="127840"/>
    <n v="55000"/>
    <n v="14780"/>
    <n v="14800"/>
    <n v="212420"/>
    <n v="143000"/>
    <n v="46000"/>
    <n v="45000"/>
    <n v="234000"/>
    <n v="21580"/>
    <n v="539.5"/>
    <n v="21040.5"/>
  </r>
  <r>
    <x v="4"/>
    <x v="1"/>
    <n v="133840"/>
    <n v="61000"/>
    <n v="20780"/>
    <n v="20800"/>
    <n v="236420"/>
    <n v="149000"/>
    <n v="52000"/>
    <n v="51000"/>
    <n v="252000"/>
    <n v="15580"/>
    <n v="389.5"/>
    <n v="15190.5"/>
  </r>
  <r>
    <x v="4"/>
    <x v="2"/>
    <n v="129000"/>
    <n v="56160"/>
    <n v="15940"/>
    <n v="15960"/>
    <n v="217060"/>
    <n v="144160"/>
    <n v="47160"/>
    <n v="46160"/>
    <n v="237480"/>
    <n v="20420"/>
    <n v="510.5"/>
    <n v="19909.5"/>
  </r>
  <r>
    <x v="4"/>
    <x v="3"/>
    <n v="90000"/>
    <n v="11200"/>
    <n v="3600"/>
    <n v="8500"/>
    <n v="113300"/>
    <n v="210500"/>
    <n v="31000"/>
    <n v="18900"/>
    <n v="260400"/>
    <n v="147100"/>
    <n v="3677.5"/>
    <n v="143422.5"/>
  </r>
  <r>
    <x v="4"/>
    <x v="4"/>
    <n v="132840"/>
    <n v="60000"/>
    <n v="19780"/>
    <n v="19800"/>
    <n v="232420"/>
    <n v="348000"/>
    <n v="51000"/>
    <n v="50000"/>
    <n v="449000"/>
    <n v="216580"/>
    <n v="5414.5"/>
    <n v="211165.5"/>
  </r>
  <r>
    <x v="4"/>
    <x v="5"/>
    <n v="45980"/>
    <n v="8900"/>
    <n v="1350"/>
    <n v="13890"/>
    <n v="70120"/>
    <n v="99780"/>
    <n v="0"/>
    <n v="0"/>
    <n v="99780"/>
    <n v="29660"/>
    <n v="741.5"/>
    <n v="28918.5"/>
  </r>
  <r>
    <x v="5"/>
    <x v="0"/>
    <n v="115900"/>
    <n v="55000"/>
    <n v="10050"/>
    <n v="8750"/>
    <n v="189700"/>
    <n v="124000"/>
    <n v="32000"/>
    <n v="15000"/>
    <n v="171000"/>
    <n v="-18700"/>
    <n v="-467.5"/>
    <n v="-18232.5"/>
  </r>
  <r>
    <x v="5"/>
    <x v="1"/>
    <n v="121900"/>
    <n v="61000"/>
    <n v="16050"/>
    <n v="14750"/>
    <n v="213700"/>
    <n v="130000"/>
    <n v="38000"/>
    <n v="21000"/>
    <n v="189000"/>
    <n v="-24700"/>
    <n v="-617.5"/>
    <n v="-24082.5"/>
  </r>
  <r>
    <x v="5"/>
    <x v="2"/>
    <n v="117060"/>
    <n v="56160"/>
    <n v="11210"/>
    <n v="9910"/>
    <n v="194340"/>
    <n v="125160"/>
    <n v="33160"/>
    <n v="16160"/>
    <n v="174480"/>
    <n v="-19860"/>
    <n v="-496.5"/>
    <n v="-19363.5"/>
  </r>
  <r>
    <x v="5"/>
    <x v="3"/>
    <n v="110000"/>
    <n v="15000"/>
    <n v="9000"/>
    <n v="9500"/>
    <n v="143500"/>
    <n v="228900"/>
    <n v="40000"/>
    <n v="11100"/>
    <n v="280000"/>
    <n v="136500"/>
    <n v="3412.5"/>
    <n v="133087.5"/>
  </r>
  <r>
    <x v="5"/>
    <x v="4"/>
    <n v="120900"/>
    <n v="60000"/>
    <n v="15050"/>
    <n v="13750"/>
    <n v="209700"/>
    <n v="729000"/>
    <n v="37000"/>
    <n v="20000"/>
    <n v="786000"/>
    <n v="576300"/>
    <n v="14407.5"/>
    <n v="561892.5"/>
  </r>
  <r>
    <x v="5"/>
    <x v="5"/>
    <n v="78560"/>
    <n v="7300"/>
    <n v="1740"/>
    <n v="17800"/>
    <n v="105400"/>
    <n v="189650"/>
    <n v="0"/>
    <n v="0"/>
    <n v="189650"/>
    <n v="84250"/>
    <n v="2106.25"/>
    <n v="82143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EE648-CA01-4EE8-B357-677E185F377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epartment" colHeaderCaption="Month ">
  <location ref="A3:H11" firstHeaderRow="1" firstDataRow="2" firstDataCol="1"/>
  <pivotFields count="16">
    <pivotField axis="axisCol" numFmtId="16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2"/>
        <item x="4"/>
        <item x="1"/>
        <item x="3"/>
        <item x="5"/>
        <item t="default"/>
      </items>
    </pivotField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otal Cost " fld="6" baseField="0" baseItem="0" numFmtId="165"/>
  </dataFields>
  <chartFormats count="6"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073F0-0CE3-4796-9761-EA99C843B52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epartment">
  <location ref="M3:N10" firstHeaderRow="1" firstDataRow="1" firstDataCol="1"/>
  <pivotFields count="16">
    <pivotField numFmtId="16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2"/>
        <item x="4"/>
        <item x="1"/>
        <item x="3"/>
        <item x="5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 Profit" fld="13" baseField="0" baseItem="0" numFmtId="165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9CDCD-964C-471E-A6DD-C03041952DE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epartment">
  <location ref="J3:K10" firstHeaderRow="1" firstDataRow="1" firstDataCol="1"/>
  <pivotFields count="16">
    <pivotField numFmtId="16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">
        <item x="0"/>
        <item x="2"/>
        <item x="4"/>
        <item x="1"/>
        <item x="3"/>
        <item x="5"/>
        <item t="default"/>
      </items>
    </pivotField>
    <pivotField numFmtId="165" showAll="0"/>
    <pivotField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_Cost" fld="6" baseField="0" baseItem="0" numFmtId="165"/>
  </dataFields>
  <chartFormats count="1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A3C5-EA4A-4F6F-A551-BADE896ECDCE}">
  <dimension ref="A1:N37"/>
  <sheetViews>
    <sheetView workbookViewId="0">
      <selection activeCell="E10" sqref="E10"/>
    </sheetView>
  </sheetViews>
  <sheetFormatPr defaultRowHeight="14.4" x14ac:dyDescent="0.3"/>
  <cols>
    <col min="1" max="1" width="7" bestFit="1" customWidth="1"/>
    <col min="2" max="2" width="22.21875" bestFit="1" customWidth="1"/>
    <col min="3" max="3" width="15.88671875" bestFit="1" customWidth="1"/>
    <col min="4" max="4" width="11.5546875" bestFit="1" customWidth="1"/>
    <col min="5" max="5" width="17.33203125" bestFit="1" customWidth="1"/>
    <col min="6" max="6" width="11.77734375" bestFit="1" customWidth="1"/>
    <col min="7" max="7" width="13.33203125" bestFit="1" customWidth="1"/>
    <col min="8" max="8" width="15" bestFit="1" customWidth="1"/>
    <col min="9" max="9" width="15.5546875" bestFit="1" customWidth="1"/>
    <col min="10" max="10" width="13.44140625" bestFit="1" customWidth="1"/>
    <col min="11" max="12" width="13.33203125" bestFit="1" customWidth="1"/>
    <col min="13" max="13" width="11.5546875" bestFit="1" customWidth="1"/>
    <col min="14" max="14" width="13.33203125" bestFit="1" customWidth="1"/>
  </cols>
  <sheetData>
    <row r="1" spans="1:14" ht="29.4" thickBot="1" x14ac:dyDescent="0.3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4" t="s">
        <v>9</v>
      </c>
      <c r="K1" s="6" t="s">
        <v>10</v>
      </c>
      <c r="L1" s="3" t="s">
        <v>11</v>
      </c>
      <c r="M1" s="7" t="s">
        <v>12</v>
      </c>
      <c r="N1" s="8" t="s">
        <v>13</v>
      </c>
    </row>
    <row r="2" spans="1:14" x14ac:dyDescent="0.3">
      <c r="A2" s="9">
        <v>45658</v>
      </c>
      <c r="B2" s="10" t="s">
        <v>14</v>
      </c>
      <c r="C2" s="11">
        <v>135600</v>
      </c>
      <c r="D2" s="12">
        <v>55000</v>
      </c>
      <c r="E2" s="12">
        <v>24500</v>
      </c>
      <c r="F2" s="12">
        <v>11200</v>
      </c>
      <c r="G2" s="13">
        <f>SUM(C2:F2)</f>
        <v>226300</v>
      </c>
      <c r="H2" s="11">
        <v>150000</v>
      </c>
      <c r="I2" s="12">
        <v>75000</v>
      </c>
      <c r="J2" s="13">
        <v>50000</v>
      </c>
      <c r="K2" s="14">
        <f>SUM(H2:J2)</f>
        <v>275000</v>
      </c>
      <c r="L2" s="12">
        <f>K2-G2</f>
        <v>48700</v>
      </c>
      <c r="M2" s="15">
        <f>L2*2.5%</f>
        <v>1217.5</v>
      </c>
      <c r="N2" s="16">
        <v>47482.5</v>
      </c>
    </row>
    <row r="3" spans="1:14" x14ac:dyDescent="0.3">
      <c r="A3" s="17">
        <v>45658</v>
      </c>
      <c r="B3" s="18" t="s">
        <v>15</v>
      </c>
      <c r="C3" s="19">
        <v>141600</v>
      </c>
      <c r="D3" s="20">
        <v>61000</v>
      </c>
      <c r="E3" s="20">
        <v>30500</v>
      </c>
      <c r="F3" s="20">
        <v>17200</v>
      </c>
      <c r="G3" s="21">
        <f t="shared" ref="G3:G37" si="0">SUM(C3:F3)</f>
        <v>250300</v>
      </c>
      <c r="H3" s="19">
        <v>156000</v>
      </c>
      <c r="I3" s="20">
        <v>81000</v>
      </c>
      <c r="J3" s="21">
        <v>56000</v>
      </c>
      <c r="K3" s="22">
        <f t="shared" ref="K3:K37" si="1">SUM(H3:J3)</f>
        <v>293000</v>
      </c>
      <c r="L3" s="20">
        <f t="shared" ref="L3:L37" si="2">K3-G3</f>
        <v>42700</v>
      </c>
      <c r="M3" s="23">
        <f t="shared" ref="M3:M37" si="3">L3*2.5%</f>
        <v>1067.5</v>
      </c>
      <c r="N3" s="24">
        <v>41632.5</v>
      </c>
    </row>
    <row r="4" spans="1:14" x14ac:dyDescent="0.3">
      <c r="A4" s="17">
        <v>45658</v>
      </c>
      <c r="B4" s="18" t="s">
        <v>16</v>
      </c>
      <c r="C4" s="19">
        <v>136760</v>
      </c>
      <c r="D4" s="20">
        <v>56160</v>
      </c>
      <c r="E4" s="20">
        <v>25660</v>
      </c>
      <c r="F4" s="20">
        <v>12360</v>
      </c>
      <c r="G4" s="21">
        <f t="shared" si="0"/>
        <v>230940</v>
      </c>
      <c r="H4" s="19">
        <v>151160</v>
      </c>
      <c r="I4" s="20">
        <v>76160</v>
      </c>
      <c r="J4" s="21">
        <v>51160</v>
      </c>
      <c r="K4" s="22">
        <f t="shared" si="1"/>
        <v>278480</v>
      </c>
      <c r="L4" s="20">
        <f t="shared" si="2"/>
        <v>47540</v>
      </c>
      <c r="M4" s="23">
        <f t="shared" si="3"/>
        <v>1188.5</v>
      </c>
      <c r="N4" s="24">
        <v>46351.5</v>
      </c>
    </row>
    <row r="5" spans="1:14" x14ac:dyDescent="0.3">
      <c r="A5" s="17">
        <v>45658</v>
      </c>
      <c r="B5" s="18" t="s">
        <v>17</v>
      </c>
      <c r="C5" s="19">
        <v>55100</v>
      </c>
      <c r="D5" s="20">
        <v>5000</v>
      </c>
      <c r="E5" s="20">
        <v>2500</v>
      </c>
      <c r="F5" s="20">
        <v>4500</v>
      </c>
      <c r="G5" s="21">
        <f t="shared" si="0"/>
        <v>67100</v>
      </c>
      <c r="H5" s="19">
        <v>115000</v>
      </c>
      <c r="I5" s="20">
        <v>16000</v>
      </c>
      <c r="J5" s="21">
        <v>12500</v>
      </c>
      <c r="K5" s="22">
        <f t="shared" si="1"/>
        <v>143500</v>
      </c>
      <c r="L5" s="20">
        <f t="shared" si="2"/>
        <v>76400</v>
      </c>
      <c r="M5" s="23">
        <f t="shared" si="3"/>
        <v>1910</v>
      </c>
      <c r="N5" s="24">
        <v>74490</v>
      </c>
    </row>
    <row r="6" spans="1:14" x14ac:dyDescent="0.3">
      <c r="A6" s="17">
        <v>45658</v>
      </c>
      <c r="B6" s="18" t="s">
        <v>18</v>
      </c>
      <c r="C6" s="19">
        <v>140600</v>
      </c>
      <c r="D6" s="20">
        <v>60000</v>
      </c>
      <c r="E6" s="20">
        <v>29500</v>
      </c>
      <c r="F6" s="20">
        <v>16200</v>
      </c>
      <c r="G6" s="21">
        <f t="shared" si="0"/>
        <v>246300</v>
      </c>
      <c r="H6" s="19">
        <v>555000</v>
      </c>
      <c r="I6" s="20">
        <v>80000</v>
      </c>
      <c r="J6" s="21">
        <v>55000</v>
      </c>
      <c r="K6" s="22">
        <f t="shared" si="1"/>
        <v>690000</v>
      </c>
      <c r="L6" s="20">
        <f t="shared" si="2"/>
        <v>443700</v>
      </c>
      <c r="M6" s="23">
        <f t="shared" si="3"/>
        <v>11092.5</v>
      </c>
      <c r="N6" s="24">
        <v>432607.5</v>
      </c>
    </row>
    <row r="7" spans="1:14" ht="15" thickBot="1" x14ac:dyDescent="0.35">
      <c r="A7" s="17">
        <v>45658</v>
      </c>
      <c r="B7" s="18" t="s">
        <v>19</v>
      </c>
      <c r="C7" s="19">
        <v>75800</v>
      </c>
      <c r="D7" s="20">
        <v>7800</v>
      </c>
      <c r="E7" s="20">
        <v>1500</v>
      </c>
      <c r="F7" s="20">
        <v>12400</v>
      </c>
      <c r="G7" s="21">
        <f t="shared" si="0"/>
        <v>97500</v>
      </c>
      <c r="H7" s="19">
        <v>115000</v>
      </c>
      <c r="I7" s="20">
        <v>0</v>
      </c>
      <c r="J7" s="21">
        <v>0</v>
      </c>
      <c r="K7" s="22">
        <f t="shared" si="1"/>
        <v>115000</v>
      </c>
      <c r="L7" s="20">
        <f t="shared" si="2"/>
        <v>17500</v>
      </c>
      <c r="M7" s="23">
        <f t="shared" si="3"/>
        <v>437.5</v>
      </c>
      <c r="N7" s="24">
        <v>17062.5</v>
      </c>
    </row>
    <row r="8" spans="1:14" x14ac:dyDescent="0.3">
      <c r="A8" s="17">
        <v>45689</v>
      </c>
      <c r="B8" s="10" t="s">
        <v>14</v>
      </c>
      <c r="C8" s="19">
        <v>152645</v>
      </c>
      <c r="D8" s="20">
        <v>55000</v>
      </c>
      <c r="E8" s="20">
        <v>14650</v>
      </c>
      <c r="F8" s="20">
        <v>5600</v>
      </c>
      <c r="G8" s="21">
        <f t="shared" si="0"/>
        <v>227895</v>
      </c>
      <c r="H8" s="19">
        <v>175000</v>
      </c>
      <c r="I8" s="20">
        <v>25000</v>
      </c>
      <c r="J8" s="21">
        <v>72000</v>
      </c>
      <c r="K8" s="22">
        <f t="shared" si="1"/>
        <v>272000</v>
      </c>
      <c r="L8" s="20">
        <f t="shared" si="2"/>
        <v>44105</v>
      </c>
      <c r="M8" s="23">
        <f t="shared" si="3"/>
        <v>1102.625</v>
      </c>
      <c r="N8" s="24">
        <v>43002.375</v>
      </c>
    </row>
    <row r="9" spans="1:14" x14ac:dyDescent="0.3">
      <c r="A9" s="17">
        <v>45689</v>
      </c>
      <c r="B9" s="18" t="s">
        <v>15</v>
      </c>
      <c r="C9" s="19">
        <v>158645</v>
      </c>
      <c r="D9" s="20">
        <v>61000</v>
      </c>
      <c r="E9" s="20">
        <v>20650</v>
      </c>
      <c r="F9" s="20">
        <v>11600</v>
      </c>
      <c r="G9" s="21">
        <f t="shared" si="0"/>
        <v>251895</v>
      </c>
      <c r="H9" s="19">
        <v>181000</v>
      </c>
      <c r="I9" s="20">
        <v>31000</v>
      </c>
      <c r="J9" s="21">
        <v>78000</v>
      </c>
      <c r="K9" s="22">
        <f t="shared" si="1"/>
        <v>290000</v>
      </c>
      <c r="L9" s="20">
        <f t="shared" si="2"/>
        <v>38105</v>
      </c>
      <c r="M9" s="23">
        <f t="shared" si="3"/>
        <v>952.625</v>
      </c>
      <c r="N9" s="24">
        <v>37152.375</v>
      </c>
    </row>
    <row r="10" spans="1:14" x14ac:dyDescent="0.3">
      <c r="A10" s="17">
        <v>45689</v>
      </c>
      <c r="B10" s="18" t="s">
        <v>16</v>
      </c>
      <c r="C10" s="19">
        <v>153805</v>
      </c>
      <c r="D10" s="20">
        <v>56160</v>
      </c>
      <c r="E10" s="20">
        <v>15810</v>
      </c>
      <c r="F10" s="20">
        <v>6760</v>
      </c>
      <c r="G10" s="21">
        <f t="shared" si="0"/>
        <v>232535</v>
      </c>
      <c r="H10" s="19">
        <v>176160</v>
      </c>
      <c r="I10" s="20">
        <v>26160</v>
      </c>
      <c r="J10" s="21">
        <v>73160</v>
      </c>
      <c r="K10" s="22">
        <f t="shared" si="1"/>
        <v>275480</v>
      </c>
      <c r="L10" s="20">
        <f t="shared" si="2"/>
        <v>42945</v>
      </c>
      <c r="M10" s="23">
        <f t="shared" si="3"/>
        <v>1073.625</v>
      </c>
      <c r="N10" s="24">
        <v>41871.375</v>
      </c>
    </row>
    <row r="11" spans="1:14" x14ac:dyDescent="0.3">
      <c r="A11" s="17">
        <v>45689</v>
      </c>
      <c r="B11" s="18" t="s">
        <v>17</v>
      </c>
      <c r="C11" s="19">
        <v>45890</v>
      </c>
      <c r="D11" s="20">
        <v>6500</v>
      </c>
      <c r="E11" s="20">
        <v>3500</v>
      </c>
      <c r="F11" s="20">
        <v>5500</v>
      </c>
      <c r="G11" s="21">
        <f t="shared" si="0"/>
        <v>61390</v>
      </c>
      <c r="H11" s="19">
        <v>189000</v>
      </c>
      <c r="I11" s="20">
        <v>17800</v>
      </c>
      <c r="J11" s="21">
        <v>13650</v>
      </c>
      <c r="K11" s="22">
        <f t="shared" si="1"/>
        <v>220450</v>
      </c>
      <c r="L11" s="20">
        <f t="shared" si="2"/>
        <v>159060</v>
      </c>
      <c r="M11" s="23">
        <f t="shared" si="3"/>
        <v>3976.5</v>
      </c>
      <c r="N11" s="24">
        <v>155083.5</v>
      </c>
    </row>
    <row r="12" spans="1:14" x14ac:dyDescent="0.3">
      <c r="A12" s="17">
        <v>45689</v>
      </c>
      <c r="B12" s="18" t="s">
        <v>18</v>
      </c>
      <c r="C12" s="19">
        <v>157645</v>
      </c>
      <c r="D12" s="20">
        <v>60000</v>
      </c>
      <c r="E12" s="20">
        <v>19650</v>
      </c>
      <c r="F12" s="20">
        <v>10600</v>
      </c>
      <c r="G12" s="21">
        <f t="shared" si="0"/>
        <v>247895</v>
      </c>
      <c r="H12" s="19">
        <v>380000</v>
      </c>
      <c r="I12" s="20">
        <v>30000</v>
      </c>
      <c r="J12" s="21">
        <v>77000</v>
      </c>
      <c r="K12" s="22">
        <f t="shared" si="1"/>
        <v>487000</v>
      </c>
      <c r="L12" s="20">
        <f t="shared" si="2"/>
        <v>239105</v>
      </c>
      <c r="M12" s="23">
        <f t="shared" si="3"/>
        <v>5977.625</v>
      </c>
      <c r="N12" s="24">
        <v>233127.375</v>
      </c>
    </row>
    <row r="13" spans="1:14" ht="15" thickBot="1" x14ac:dyDescent="0.35">
      <c r="A13" s="17">
        <v>45689</v>
      </c>
      <c r="B13" s="18" t="s">
        <v>19</v>
      </c>
      <c r="C13" s="19">
        <v>89650</v>
      </c>
      <c r="D13" s="20">
        <v>8500</v>
      </c>
      <c r="E13" s="20">
        <v>1200</v>
      </c>
      <c r="F13" s="20">
        <v>11230</v>
      </c>
      <c r="G13" s="21">
        <f t="shared" si="0"/>
        <v>110580</v>
      </c>
      <c r="H13" s="19">
        <v>90150</v>
      </c>
      <c r="I13" s="20">
        <v>0</v>
      </c>
      <c r="J13" s="21">
        <v>0</v>
      </c>
      <c r="K13" s="22">
        <f t="shared" si="1"/>
        <v>90150</v>
      </c>
      <c r="L13" s="20">
        <f t="shared" si="2"/>
        <v>-20430</v>
      </c>
      <c r="M13" s="23">
        <f t="shared" si="3"/>
        <v>-510.75</v>
      </c>
      <c r="N13" s="24">
        <v>-19919.25</v>
      </c>
    </row>
    <row r="14" spans="1:14" x14ac:dyDescent="0.3">
      <c r="A14" s="17">
        <v>45717</v>
      </c>
      <c r="B14" s="10" t="s">
        <v>14</v>
      </c>
      <c r="C14" s="19">
        <v>148925</v>
      </c>
      <c r="D14" s="20">
        <v>55000</v>
      </c>
      <c r="E14" s="20">
        <v>13580</v>
      </c>
      <c r="F14" s="20">
        <v>9800</v>
      </c>
      <c r="G14" s="21">
        <f t="shared" si="0"/>
        <v>227305</v>
      </c>
      <c r="H14" s="19">
        <v>115000</v>
      </c>
      <c r="I14" s="20">
        <v>23000</v>
      </c>
      <c r="J14" s="21">
        <v>70000</v>
      </c>
      <c r="K14" s="22">
        <f t="shared" si="1"/>
        <v>208000</v>
      </c>
      <c r="L14" s="20">
        <f t="shared" si="2"/>
        <v>-19305</v>
      </c>
      <c r="M14" s="23">
        <f t="shared" si="3"/>
        <v>-482.625</v>
      </c>
      <c r="N14" s="24">
        <v>-18822.375</v>
      </c>
    </row>
    <row r="15" spans="1:14" x14ac:dyDescent="0.3">
      <c r="A15" s="17">
        <v>45717</v>
      </c>
      <c r="B15" s="18" t="s">
        <v>15</v>
      </c>
      <c r="C15" s="19">
        <v>154925</v>
      </c>
      <c r="D15" s="20">
        <v>61000</v>
      </c>
      <c r="E15" s="20">
        <v>19580</v>
      </c>
      <c r="F15" s="20">
        <v>15800</v>
      </c>
      <c r="G15" s="21">
        <f t="shared" si="0"/>
        <v>251305</v>
      </c>
      <c r="H15" s="19">
        <v>121000</v>
      </c>
      <c r="I15" s="20">
        <v>29000</v>
      </c>
      <c r="J15" s="21">
        <v>76000</v>
      </c>
      <c r="K15" s="22">
        <f t="shared" si="1"/>
        <v>226000</v>
      </c>
      <c r="L15" s="20">
        <f t="shared" si="2"/>
        <v>-25305</v>
      </c>
      <c r="M15" s="23">
        <f t="shared" si="3"/>
        <v>-632.625</v>
      </c>
      <c r="N15" s="24">
        <v>-24672.375</v>
      </c>
    </row>
    <row r="16" spans="1:14" x14ac:dyDescent="0.3">
      <c r="A16" s="17">
        <v>45717</v>
      </c>
      <c r="B16" s="18" t="s">
        <v>16</v>
      </c>
      <c r="C16" s="19">
        <v>150085</v>
      </c>
      <c r="D16" s="20">
        <v>56160</v>
      </c>
      <c r="E16" s="20">
        <v>14740</v>
      </c>
      <c r="F16" s="20">
        <v>10960</v>
      </c>
      <c r="G16" s="21">
        <f t="shared" si="0"/>
        <v>231945</v>
      </c>
      <c r="H16" s="19">
        <v>116160</v>
      </c>
      <c r="I16" s="20">
        <v>24160</v>
      </c>
      <c r="J16" s="21">
        <v>71160</v>
      </c>
      <c r="K16" s="22">
        <f t="shared" si="1"/>
        <v>211480</v>
      </c>
      <c r="L16" s="20">
        <f t="shared" si="2"/>
        <v>-20465</v>
      </c>
      <c r="M16" s="23">
        <f t="shared" si="3"/>
        <v>-511.625</v>
      </c>
      <c r="N16" s="24">
        <v>-19953.375</v>
      </c>
    </row>
    <row r="17" spans="1:14" x14ac:dyDescent="0.3">
      <c r="A17" s="17">
        <v>45717</v>
      </c>
      <c r="B17" s="18" t="s">
        <v>17</v>
      </c>
      <c r="C17" s="19">
        <v>41980</v>
      </c>
      <c r="D17" s="20">
        <v>7500</v>
      </c>
      <c r="E17" s="20">
        <v>4600</v>
      </c>
      <c r="F17" s="20">
        <v>6500</v>
      </c>
      <c r="G17" s="21">
        <f t="shared" si="0"/>
        <v>60580</v>
      </c>
      <c r="H17" s="19">
        <v>161850</v>
      </c>
      <c r="I17" s="20">
        <v>23000</v>
      </c>
      <c r="J17" s="21">
        <v>16890</v>
      </c>
      <c r="K17" s="22">
        <f t="shared" si="1"/>
        <v>201740</v>
      </c>
      <c r="L17" s="20">
        <f t="shared" si="2"/>
        <v>141160</v>
      </c>
      <c r="M17" s="23">
        <f t="shared" si="3"/>
        <v>3529</v>
      </c>
      <c r="N17" s="24">
        <v>137631</v>
      </c>
    </row>
    <row r="18" spans="1:14" x14ac:dyDescent="0.3">
      <c r="A18" s="17">
        <v>45717</v>
      </c>
      <c r="B18" s="18" t="s">
        <v>18</v>
      </c>
      <c r="C18" s="19">
        <v>153925</v>
      </c>
      <c r="D18" s="20">
        <v>60000</v>
      </c>
      <c r="E18" s="20">
        <v>18580</v>
      </c>
      <c r="F18" s="20">
        <v>14800</v>
      </c>
      <c r="G18" s="21">
        <f t="shared" si="0"/>
        <v>247305</v>
      </c>
      <c r="H18" s="19">
        <v>420000</v>
      </c>
      <c r="I18" s="20">
        <v>28000</v>
      </c>
      <c r="J18" s="21">
        <v>75000</v>
      </c>
      <c r="K18" s="22">
        <f t="shared" si="1"/>
        <v>523000</v>
      </c>
      <c r="L18" s="20">
        <f t="shared" si="2"/>
        <v>275695</v>
      </c>
      <c r="M18" s="23">
        <f t="shared" si="3"/>
        <v>6892.375</v>
      </c>
      <c r="N18" s="24">
        <v>268802.625</v>
      </c>
    </row>
    <row r="19" spans="1:14" ht="15" thickBot="1" x14ac:dyDescent="0.35">
      <c r="A19" s="17">
        <v>45717</v>
      </c>
      <c r="B19" s="18" t="s">
        <v>19</v>
      </c>
      <c r="C19" s="19">
        <v>61540</v>
      </c>
      <c r="D19" s="20">
        <v>6580</v>
      </c>
      <c r="E19" s="20">
        <v>1800</v>
      </c>
      <c r="F19" s="20">
        <v>12780</v>
      </c>
      <c r="G19" s="21">
        <f t="shared" si="0"/>
        <v>82700</v>
      </c>
      <c r="H19" s="19">
        <v>178900</v>
      </c>
      <c r="I19" s="20">
        <v>0</v>
      </c>
      <c r="J19" s="21">
        <v>0</v>
      </c>
      <c r="K19" s="22">
        <f t="shared" si="1"/>
        <v>178900</v>
      </c>
      <c r="L19" s="20">
        <f t="shared" si="2"/>
        <v>96200</v>
      </c>
      <c r="M19" s="23">
        <f t="shared" si="3"/>
        <v>2405</v>
      </c>
      <c r="N19" s="24">
        <v>93795</v>
      </c>
    </row>
    <row r="20" spans="1:14" x14ac:dyDescent="0.3">
      <c r="A20" s="17">
        <v>45748</v>
      </c>
      <c r="B20" s="10" t="s">
        <v>14</v>
      </c>
      <c r="C20" s="19">
        <v>146230</v>
      </c>
      <c r="D20" s="20">
        <v>55000</v>
      </c>
      <c r="E20" s="20">
        <v>13460</v>
      </c>
      <c r="F20" s="20">
        <v>10200</v>
      </c>
      <c r="G20" s="21">
        <f t="shared" si="0"/>
        <v>224890</v>
      </c>
      <c r="H20" s="19">
        <v>189000</v>
      </c>
      <c r="I20" s="20">
        <v>21500</v>
      </c>
      <c r="J20" s="21">
        <v>65000</v>
      </c>
      <c r="K20" s="22">
        <f t="shared" si="1"/>
        <v>275500</v>
      </c>
      <c r="L20" s="20">
        <f t="shared" si="2"/>
        <v>50610</v>
      </c>
      <c r="M20" s="23">
        <f t="shared" si="3"/>
        <v>1265.25</v>
      </c>
      <c r="N20" s="24">
        <v>49344.75</v>
      </c>
    </row>
    <row r="21" spans="1:14" x14ac:dyDescent="0.3">
      <c r="A21" s="17">
        <v>45748</v>
      </c>
      <c r="B21" s="18" t="s">
        <v>15</v>
      </c>
      <c r="C21" s="19">
        <v>152230</v>
      </c>
      <c r="D21" s="20">
        <v>61000</v>
      </c>
      <c r="E21" s="20">
        <v>19460</v>
      </c>
      <c r="F21" s="20">
        <v>16200</v>
      </c>
      <c r="G21" s="21">
        <f t="shared" si="0"/>
        <v>248890</v>
      </c>
      <c r="H21" s="19">
        <v>195000</v>
      </c>
      <c r="I21" s="20">
        <v>27500</v>
      </c>
      <c r="J21" s="21">
        <v>71000</v>
      </c>
      <c r="K21" s="22">
        <f t="shared" si="1"/>
        <v>293500</v>
      </c>
      <c r="L21" s="20">
        <f t="shared" si="2"/>
        <v>44610</v>
      </c>
      <c r="M21" s="23">
        <f t="shared" si="3"/>
        <v>1115.25</v>
      </c>
      <c r="N21" s="24">
        <v>43494.75</v>
      </c>
    </row>
    <row r="22" spans="1:14" x14ac:dyDescent="0.3">
      <c r="A22" s="17">
        <v>45748</v>
      </c>
      <c r="B22" s="18" t="s">
        <v>16</v>
      </c>
      <c r="C22" s="19">
        <v>147390</v>
      </c>
      <c r="D22" s="20">
        <v>56160</v>
      </c>
      <c r="E22" s="20">
        <v>14620</v>
      </c>
      <c r="F22" s="20">
        <v>11360</v>
      </c>
      <c r="G22" s="21">
        <f t="shared" si="0"/>
        <v>229530</v>
      </c>
      <c r="H22" s="19">
        <v>190160</v>
      </c>
      <c r="I22" s="20">
        <v>22660</v>
      </c>
      <c r="J22" s="21">
        <v>66160</v>
      </c>
      <c r="K22" s="22">
        <f t="shared" si="1"/>
        <v>278980</v>
      </c>
      <c r="L22" s="20">
        <f t="shared" si="2"/>
        <v>49450</v>
      </c>
      <c r="M22" s="23">
        <f t="shared" si="3"/>
        <v>1236.25</v>
      </c>
      <c r="N22" s="24">
        <v>48213.75</v>
      </c>
    </row>
    <row r="23" spans="1:14" x14ac:dyDescent="0.3">
      <c r="A23" s="17">
        <v>45748</v>
      </c>
      <c r="B23" s="18" t="s">
        <v>17</v>
      </c>
      <c r="C23" s="19">
        <v>65000</v>
      </c>
      <c r="D23" s="20">
        <v>4900</v>
      </c>
      <c r="E23" s="20">
        <v>7800</v>
      </c>
      <c r="F23" s="20">
        <v>7800</v>
      </c>
      <c r="G23" s="21">
        <f t="shared" si="0"/>
        <v>85500</v>
      </c>
      <c r="H23" s="19">
        <v>125000</v>
      </c>
      <c r="I23" s="20">
        <v>25000</v>
      </c>
      <c r="J23" s="21">
        <v>17450</v>
      </c>
      <c r="K23" s="22">
        <f t="shared" si="1"/>
        <v>167450</v>
      </c>
      <c r="L23" s="20">
        <f t="shared" si="2"/>
        <v>81950</v>
      </c>
      <c r="M23" s="23">
        <f t="shared" si="3"/>
        <v>2048.75</v>
      </c>
      <c r="N23" s="24">
        <v>79901.25</v>
      </c>
    </row>
    <row r="24" spans="1:14" x14ac:dyDescent="0.3">
      <c r="A24" s="17">
        <v>45748</v>
      </c>
      <c r="B24" s="18" t="s">
        <v>18</v>
      </c>
      <c r="C24" s="19">
        <v>151230</v>
      </c>
      <c r="D24" s="20">
        <v>60000</v>
      </c>
      <c r="E24" s="20">
        <v>18460</v>
      </c>
      <c r="F24" s="20">
        <v>15200</v>
      </c>
      <c r="G24" s="21">
        <f t="shared" si="0"/>
        <v>244890</v>
      </c>
      <c r="H24" s="19">
        <v>294000</v>
      </c>
      <c r="I24" s="20">
        <v>26500</v>
      </c>
      <c r="J24" s="21">
        <v>70000</v>
      </c>
      <c r="K24" s="22">
        <f t="shared" si="1"/>
        <v>390500</v>
      </c>
      <c r="L24" s="20">
        <f t="shared" si="2"/>
        <v>145610</v>
      </c>
      <c r="M24" s="23">
        <f t="shared" si="3"/>
        <v>3640.25</v>
      </c>
      <c r="N24" s="24">
        <v>141969.75</v>
      </c>
    </row>
    <row r="25" spans="1:14" ht="15" thickBot="1" x14ac:dyDescent="0.35">
      <c r="A25" s="17">
        <v>45748</v>
      </c>
      <c r="B25" s="18" t="s">
        <v>19</v>
      </c>
      <c r="C25" s="19">
        <v>59850</v>
      </c>
      <c r="D25" s="20">
        <v>7400</v>
      </c>
      <c r="E25" s="20">
        <v>1950</v>
      </c>
      <c r="F25" s="20">
        <v>11650</v>
      </c>
      <c r="G25" s="21">
        <f t="shared" si="0"/>
        <v>80850</v>
      </c>
      <c r="H25" s="19">
        <v>75890</v>
      </c>
      <c r="I25" s="20">
        <v>0</v>
      </c>
      <c r="J25" s="21">
        <v>0</v>
      </c>
      <c r="K25" s="22">
        <f t="shared" si="1"/>
        <v>75890</v>
      </c>
      <c r="L25" s="20">
        <f t="shared" si="2"/>
        <v>-4960</v>
      </c>
      <c r="M25" s="23">
        <f t="shared" si="3"/>
        <v>-124</v>
      </c>
      <c r="N25" s="24">
        <v>-4836</v>
      </c>
    </row>
    <row r="26" spans="1:14" x14ac:dyDescent="0.3">
      <c r="A26" s="17">
        <v>45778</v>
      </c>
      <c r="B26" s="10" t="s">
        <v>14</v>
      </c>
      <c r="C26" s="19">
        <v>127840</v>
      </c>
      <c r="D26" s="20">
        <v>55000</v>
      </c>
      <c r="E26" s="20">
        <v>14780</v>
      </c>
      <c r="F26" s="20">
        <v>14800</v>
      </c>
      <c r="G26" s="21">
        <f t="shared" si="0"/>
        <v>212420</v>
      </c>
      <c r="H26" s="19">
        <v>143000</v>
      </c>
      <c r="I26" s="20">
        <v>46000</v>
      </c>
      <c r="J26" s="21">
        <v>45000</v>
      </c>
      <c r="K26" s="22">
        <f t="shared" si="1"/>
        <v>234000</v>
      </c>
      <c r="L26" s="20">
        <f t="shared" si="2"/>
        <v>21580</v>
      </c>
      <c r="M26" s="23">
        <f t="shared" si="3"/>
        <v>539.5</v>
      </c>
      <c r="N26" s="24">
        <v>21040.5</v>
      </c>
    </row>
    <row r="27" spans="1:14" x14ac:dyDescent="0.3">
      <c r="A27" s="17">
        <v>45778</v>
      </c>
      <c r="B27" s="18" t="s">
        <v>15</v>
      </c>
      <c r="C27" s="19">
        <v>133840</v>
      </c>
      <c r="D27" s="20">
        <v>61000</v>
      </c>
      <c r="E27" s="20">
        <v>20780</v>
      </c>
      <c r="F27" s="20">
        <v>20800</v>
      </c>
      <c r="G27" s="21">
        <f t="shared" si="0"/>
        <v>236420</v>
      </c>
      <c r="H27" s="19">
        <v>149000</v>
      </c>
      <c r="I27" s="20">
        <v>52000</v>
      </c>
      <c r="J27" s="21">
        <v>51000</v>
      </c>
      <c r="K27" s="22">
        <f t="shared" si="1"/>
        <v>252000</v>
      </c>
      <c r="L27" s="20">
        <f t="shared" si="2"/>
        <v>15580</v>
      </c>
      <c r="M27" s="23">
        <f t="shared" si="3"/>
        <v>389.5</v>
      </c>
      <c r="N27" s="24">
        <v>15190.5</v>
      </c>
    </row>
    <row r="28" spans="1:14" x14ac:dyDescent="0.3">
      <c r="A28" s="17">
        <v>45778</v>
      </c>
      <c r="B28" s="18" t="s">
        <v>16</v>
      </c>
      <c r="C28" s="19">
        <v>129000</v>
      </c>
      <c r="D28" s="20">
        <v>56160</v>
      </c>
      <c r="E28" s="20">
        <v>15940</v>
      </c>
      <c r="F28" s="20">
        <v>15960</v>
      </c>
      <c r="G28" s="21">
        <f t="shared" si="0"/>
        <v>217060</v>
      </c>
      <c r="H28" s="19">
        <v>144160</v>
      </c>
      <c r="I28" s="20">
        <v>47160</v>
      </c>
      <c r="J28" s="21">
        <v>46160</v>
      </c>
      <c r="K28" s="22">
        <f t="shared" si="1"/>
        <v>237480</v>
      </c>
      <c r="L28" s="20">
        <f t="shared" si="2"/>
        <v>20420</v>
      </c>
      <c r="M28" s="23">
        <f t="shared" si="3"/>
        <v>510.5</v>
      </c>
      <c r="N28" s="24">
        <v>19909.5</v>
      </c>
    </row>
    <row r="29" spans="1:14" x14ac:dyDescent="0.3">
      <c r="A29" s="17">
        <v>45778</v>
      </c>
      <c r="B29" s="18" t="s">
        <v>17</v>
      </c>
      <c r="C29" s="19">
        <v>90000</v>
      </c>
      <c r="D29" s="20">
        <v>11200</v>
      </c>
      <c r="E29" s="20">
        <v>3600</v>
      </c>
      <c r="F29" s="20">
        <v>8500</v>
      </c>
      <c r="G29" s="21">
        <f t="shared" si="0"/>
        <v>113300</v>
      </c>
      <c r="H29" s="19">
        <v>210500</v>
      </c>
      <c r="I29" s="20">
        <v>31000</v>
      </c>
      <c r="J29" s="21">
        <v>18900</v>
      </c>
      <c r="K29" s="22">
        <f t="shared" si="1"/>
        <v>260400</v>
      </c>
      <c r="L29" s="20">
        <f t="shared" si="2"/>
        <v>147100</v>
      </c>
      <c r="M29" s="23">
        <f t="shared" si="3"/>
        <v>3677.5</v>
      </c>
      <c r="N29" s="24">
        <v>143422.5</v>
      </c>
    </row>
    <row r="30" spans="1:14" x14ac:dyDescent="0.3">
      <c r="A30" s="17">
        <v>45778</v>
      </c>
      <c r="B30" s="18" t="s">
        <v>18</v>
      </c>
      <c r="C30" s="19">
        <v>132840</v>
      </c>
      <c r="D30" s="20">
        <v>60000</v>
      </c>
      <c r="E30" s="20">
        <v>19780</v>
      </c>
      <c r="F30" s="20">
        <v>19800</v>
      </c>
      <c r="G30" s="21">
        <f t="shared" si="0"/>
        <v>232420</v>
      </c>
      <c r="H30" s="19">
        <v>348000</v>
      </c>
      <c r="I30" s="20">
        <v>51000</v>
      </c>
      <c r="J30" s="21">
        <v>50000</v>
      </c>
      <c r="K30" s="22">
        <f t="shared" si="1"/>
        <v>449000</v>
      </c>
      <c r="L30" s="20">
        <f t="shared" si="2"/>
        <v>216580</v>
      </c>
      <c r="M30" s="23">
        <f t="shared" si="3"/>
        <v>5414.5</v>
      </c>
      <c r="N30" s="24">
        <v>211165.5</v>
      </c>
    </row>
    <row r="31" spans="1:14" ht="15" thickBot="1" x14ac:dyDescent="0.35">
      <c r="A31" s="17">
        <v>45778</v>
      </c>
      <c r="B31" s="18" t="s">
        <v>19</v>
      </c>
      <c r="C31" s="19">
        <v>45980</v>
      </c>
      <c r="D31" s="20">
        <v>8900</v>
      </c>
      <c r="E31" s="20">
        <v>1350</v>
      </c>
      <c r="F31" s="20">
        <v>13890</v>
      </c>
      <c r="G31" s="21">
        <f t="shared" si="0"/>
        <v>70120</v>
      </c>
      <c r="H31" s="19">
        <v>99780</v>
      </c>
      <c r="I31" s="20">
        <v>0</v>
      </c>
      <c r="J31" s="21">
        <v>0</v>
      </c>
      <c r="K31" s="22">
        <f t="shared" si="1"/>
        <v>99780</v>
      </c>
      <c r="L31" s="20">
        <f t="shared" si="2"/>
        <v>29660</v>
      </c>
      <c r="M31" s="23">
        <f t="shared" si="3"/>
        <v>741.5</v>
      </c>
      <c r="N31" s="24">
        <v>28918.5</v>
      </c>
    </row>
    <row r="32" spans="1:14" x14ac:dyDescent="0.3">
      <c r="A32" s="17">
        <v>45809</v>
      </c>
      <c r="B32" s="10" t="s">
        <v>14</v>
      </c>
      <c r="C32" s="19">
        <v>115900</v>
      </c>
      <c r="D32" s="20">
        <v>55000</v>
      </c>
      <c r="E32" s="20">
        <v>10050</v>
      </c>
      <c r="F32" s="20">
        <v>8750</v>
      </c>
      <c r="G32" s="21">
        <f t="shared" si="0"/>
        <v>189700</v>
      </c>
      <c r="H32" s="19">
        <v>124000</v>
      </c>
      <c r="I32" s="20">
        <v>32000</v>
      </c>
      <c r="J32" s="21">
        <v>15000</v>
      </c>
      <c r="K32" s="22">
        <f t="shared" si="1"/>
        <v>171000</v>
      </c>
      <c r="L32" s="20">
        <f t="shared" si="2"/>
        <v>-18700</v>
      </c>
      <c r="M32" s="23">
        <f t="shared" si="3"/>
        <v>-467.5</v>
      </c>
      <c r="N32" s="24">
        <v>-18232.5</v>
      </c>
    </row>
    <row r="33" spans="1:14" x14ac:dyDescent="0.3">
      <c r="A33" s="17">
        <v>45809</v>
      </c>
      <c r="B33" s="18" t="s">
        <v>15</v>
      </c>
      <c r="C33" s="19">
        <v>121900</v>
      </c>
      <c r="D33" s="20">
        <v>61000</v>
      </c>
      <c r="E33" s="20">
        <v>16050</v>
      </c>
      <c r="F33" s="20">
        <v>14750</v>
      </c>
      <c r="G33" s="21">
        <f t="shared" si="0"/>
        <v>213700</v>
      </c>
      <c r="H33" s="19">
        <v>130000</v>
      </c>
      <c r="I33" s="20">
        <v>38000</v>
      </c>
      <c r="J33" s="21">
        <v>21000</v>
      </c>
      <c r="K33" s="22">
        <f t="shared" si="1"/>
        <v>189000</v>
      </c>
      <c r="L33" s="20">
        <f t="shared" si="2"/>
        <v>-24700</v>
      </c>
      <c r="M33" s="23">
        <f t="shared" si="3"/>
        <v>-617.5</v>
      </c>
      <c r="N33" s="24">
        <v>-24082.5</v>
      </c>
    </row>
    <row r="34" spans="1:14" x14ac:dyDescent="0.3">
      <c r="A34" s="17">
        <v>45809</v>
      </c>
      <c r="B34" s="18" t="s">
        <v>16</v>
      </c>
      <c r="C34" s="19">
        <v>117060</v>
      </c>
      <c r="D34" s="20">
        <v>56160</v>
      </c>
      <c r="E34" s="20">
        <v>11210</v>
      </c>
      <c r="F34" s="20">
        <v>9910</v>
      </c>
      <c r="G34" s="21">
        <f t="shared" si="0"/>
        <v>194340</v>
      </c>
      <c r="H34" s="19">
        <v>125160</v>
      </c>
      <c r="I34" s="20">
        <v>33160</v>
      </c>
      <c r="J34" s="21">
        <v>16160</v>
      </c>
      <c r="K34" s="22">
        <f t="shared" si="1"/>
        <v>174480</v>
      </c>
      <c r="L34" s="20">
        <f t="shared" si="2"/>
        <v>-19860</v>
      </c>
      <c r="M34" s="23">
        <f t="shared" si="3"/>
        <v>-496.5</v>
      </c>
      <c r="N34" s="24">
        <v>-19363.5</v>
      </c>
    </row>
    <row r="35" spans="1:14" x14ac:dyDescent="0.3">
      <c r="A35" s="17">
        <v>45809</v>
      </c>
      <c r="B35" s="18" t="s">
        <v>17</v>
      </c>
      <c r="C35" s="19">
        <v>110000</v>
      </c>
      <c r="D35" s="20">
        <v>15000</v>
      </c>
      <c r="E35" s="20">
        <v>9000</v>
      </c>
      <c r="F35" s="20">
        <v>9500</v>
      </c>
      <c r="G35" s="21">
        <f t="shared" si="0"/>
        <v>143500</v>
      </c>
      <c r="H35" s="19">
        <v>228900</v>
      </c>
      <c r="I35" s="20">
        <v>40000</v>
      </c>
      <c r="J35" s="21">
        <v>11100</v>
      </c>
      <c r="K35" s="22">
        <f t="shared" si="1"/>
        <v>280000</v>
      </c>
      <c r="L35" s="20">
        <f t="shared" si="2"/>
        <v>136500</v>
      </c>
      <c r="M35" s="23">
        <f t="shared" si="3"/>
        <v>3412.5</v>
      </c>
      <c r="N35" s="24">
        <v>133087.5</v>
      </c>
    </row>
    <row r="36" spans="1:14" x14ac:dyDescent="0.3">
      <c r="A36" s="17">
        <v>45809</v>
      </c>
      <c r="B36" s="18" t="s">
        <v>18</v>
      </c>
      <c r="C36" s="19">
        <v>120900</v>
      </c>
      <c r="D36" s="20">
        <v>60000</v>
      </c>
      <c r="E36" s="20">
        <v>15050</v>
      </c>
      <c r="F36" s="20">
        <v>13750</v>
      </c>
      <c r="G36" s="21">
        <f t="shared" si="0"/>
        <v>209700</v>
      </c>
      <c r="H36" s="19">
        <v>729000</v>
      </c>
      <c r="I36" s="20">
        <v>37000</v>
      </c>
      <c r="J36" s="21">
        <v>20000</v>
      </c>
      <c r="K36" s="22">
        <f t="shared" si="1"/>
        <v>786000</v>
      </c>
      <c r="L36" s="20">
        <f t="shared" si="2"/>
        <v>576300</v>
      </c>
      <c r="M36" s="23">
        <f t="shared" si="3"/>
        <v>14407.5</v>
      </c>
      <c r="N36" s="24">
        <v>561892.5</v>
      </c>
    </row>
    <row r="37" spans="1:14" ht="15" thickBot="1" x14ac:dyDescent="0.35">
      <c r="A37" s="25">
        <v>45809</v>
      </c>
      <c r="B37" s="26" t="s">
        <v>19</v>
      </c>
      <c r="C37" s="27">
        <v>78560</v>
      </c>
      <c r="D37" s="28">
        <v>7300</v>
      </c>
      <c r="E37" s="28">
        <v>1740</v>
      </c>
      <c r="F37" s="28">
        <v>17800</v>
      </c>
      <c r="G37" s="29">
        <f t="shared" si="0"/>
        <v>105400</v>
      </c>
      <c r="H37" s="27">
        <v>189650</v>
      </c>
      <c r="I37" s="28">
        <v>0</v>
      </c>
      <c r="J37" s="29">
        <v>0</v>
      </c>
      <c r="K37" s="30">
        <f t="shared" si="1"/>
        <v>189650</v>
      </c>
      <c r="L37" s="28">
        <f t="shared" si="2"/>
        <v>84250</v>
      </c>
      <c r="M37" s="31">
        <f t="shared" si="3"/>
        <v>2106.25</v>
      </c>
      <c r="N37" s="32">
        <v>82143.75</v>
      </c>
    </row>
  </sheetData>
  <conditionalFormatting sqref="N2:N37">
    <cfRule type="cellIs" dxfId="1" priority="1" operator="lessThan">
      <formula>0</formula>
    </cfRule>
  </conditionalFormatting>
  <conditionalFormatting sqref="N2:N1048576"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4481-EDAE-49AE-8817-FDE7FA41E333}">
  <dimension ref="A3:N11"/>
  <sheetViews>
    <sheetView workbookViewId="0">
      <selection activeCell="H15" sqref="H15"/>
    </sheetView>
  </sheetViews>
  <sheetFormatPr defaultRowHeight="14.4" x14ac:dyDescent="0.3"/>
  <cols>
    <col min="1" max="1" width="22.21875" bestFit="1" customWidth="1"/>
    <col min="2" max="8" width="13.109375" bestFit="1" customWidth="1"/>
    <col min="10" max="10" width="22.21875" bestFit="1" customWidth="1"/>
    <col min="11" max="11" width="15.33203125" bestFit="1" customWidth="1"/>
    <col min="13" max="13" width="22.21875" bestFit="1" customWidth="1"/>
    <col min="14" max="14" width="15" bestFit="1" customWidth="1"/>
  </cols>
  <sheetData>
    <row r="3" spans="1:14" x14ac:dyDescent="0.3">
      <c r="A3" s="33" t="s">
        <v>21</v>
      </c>
      <c r="B3" s="33" t="s">
        <v>22</v>
      </c>
      <c r="J3" s="33" t="s">
        <v>1</v>
      </c>
      <c r="K3" t="s">
        <v>23</v>
      </c>
      <c r="M3" s="33" t="s">
        <v>1</v>
      </c>
      <c r="N3" t="s">
        <v>24</v>
      </c>
    </row>
    <row r="4" spans="1:14" x14ac:dyDescent="0.3">
      <c r="A4" s="33" t="s">
        <v>1</v>
      </c>
      <c r="B4" s="36">
        <v>45658</v>
      </c>
      <c r="C4" s="36">
        <v>45689</v>
      </c>
      <c r="D4" s="36">
        <v>45717</v>
      </c>
      <c r="E4" s="36">
        <v>45748</v>
      </c>
      <c r="F4" s="36">
        <v>45778</v>
      </c>
      <c r="G4" s="36">
        <v>45809</v>
      </c>
      <c r="H4" s="36" t="s">
        <v>20</v>
      </c>
      <c r="J4" s="34" t="s">
        <v>14</v>
      </c>
      <c r="K4" s="35">
        <v>1308510</v>
      </c>
      <c r="M4" s="34" t="s">
        <v>14</v>
      </c>
      <c r="N4" s="35">
        <v>123815.25</v>
      </c>
    </row>
    <row r="5" spans="1:14" x14ac:dyDescent="0.3">
      <c r="A5" s="34" t="s">
        <v>14</v>
      </c>
      <c r="B5" s="35">
        <v>226300</v>
      </c>
      <c r="C5" s="35">
        <v>227895</v>
      </c>
      <c r="D5" s="35">
        <v>227305</v>
      </c>
      <c r="E5" s="35">
        <v>224890</v>
      </c>
      <c r="F5" s="35">
        <v>212420</v>
      </c>
      <c r="G5" s="35">
        <v>189700</v>
      </c>
      <c r="H5" s="35">
        <v>1308510</v>
      </c>
      <c r="J5" s="34" t="s">
        <v>16</v>
      </c>
      <c r="K5" s="35">
        <v>1336350</v>
      </c>
      <c r="M5" s="34" t="s">
        <v>16</v>
      </c>
      <c r="N5" s="35">
        <v>117029.25</v>
      </c>
    </row>
    <row r="6" spans="1:14" x14ac:dyDescent="0.3">
      <c r="A6" s="34" t="s">
        <v>16</v>
      </c>
      <c r="B6" s="35">
        <v>230940</v>
      </c>
      <c r="C6" s="35">
        <v>232535</v>
      </c>
      <c r="D6" s="35">
        <v>231945</v>
      </c>
      <c r="E6" s="35">
        <v>229530</v>
      </c>
      <c r="F6" s="35">
        <v>217060</v>
      </c>
      <c r="G6" s="35">
        <v>194340</v>
      </c>
      <c r="H6" s="35">
        <v>1336350</v>
      </c>
      <c r="J6" s="34" t="s">
        <v>18</v>
      </c>
      <c r="K6" s="35">
        <v>1428510</v>
      </c>
      <c r="M6" s="34" t="s">
        <v>18</v>
      </c>
      <c r="N6" s="35">
        <v>1849565.25</v>
      </c>
    </row>
    <row r="7" spans="1:14" x14ac:dyDescent="0.3">
      <c r="A7" s="34" t="s">
        <v>18</v>
      </c>
      <c r="B7" s="35">
        <v>246300</v>
      </c>
      <c r="C7" s="35">
        <v>247895</v>
      </c>
      <c r="D7" s="35">
        <v>247305</v>
      </c>
      <c r="E7" s="35">
        <v>244890</v>
      </c>
      <c r="F7" s="35">
        <v>232420</v>
      </c>
      <c r="G7" s="35">
        <v>209700</v>
      </c>
      <c r="H7" s="35">
        <v>1428510</v>
      </c>
      <c r="J7" s="34" t="s">
        <v>15</v>
      </c>
      <c r="K7" s="35">
        <v>1452510</v>
      </c>
      <c r="M7" s="34" t="s">
        <v>15</v>
      </c>
      <c r="N7" s="35">
        <v>88715.25</v>
      </c>
    </row>
    <row r="8" spans="1:14" x14ac:dyDescent="0.3">
      <c r="A8" s="34" t="s">
        <v>15</v>
      </c>
      <c r="B8" s="35">
        <v>250300</v>
      </c>
      <c r="C8" s="35">
        <v>251895</v>
      </c>
      <c r="D8" s="35">
        <v>251305</v>
      </c>
      <c r="E8" s="35">
        <v>248890</v>
      </c>
      <c r="F8" s="35">
        <v>236420</v>
      </c>
      <c r="G8" s="35">
        <v>213700</v>
      </c>
      <c r="H8" s="35">
        <v>1452510</v>
      </c>
      <c r="J8" s="34" t="s">
        <v>17</v>
      </c>
      <c r="K8" s="35">
        <v>531370</v>
      </c>
      <c r="M8" s="34" t="s">
        <v>17</v>
      </c>
      <c r="N8" s="35">
        <v>723615.75</v>
      </c>
    </row>
    <row r="9" spans="1:14" x14ac:dyDescent="0.3">
      <c r="A9" s="34" t="s">
        <v>17</v>
      </c>
      <c r="B9" s="35">
        <v>67100</v>
      </c>
      <c r="C9" s="35">
        <v>61390</v>
      </c>
      <c r="D9" s="35">
        <v>60580</v>
      </c>
      <c r="E9" s="35">
        <v>85500</v>
      </c>
      <c r="F9" s="35">
        <v>113300</v>
      </c>
      <c r="G9" s="35">
        <v>143500</v>
      </c>
      <c r="H9" s="35">
        <v>531370</v>
      </c>
      <c r="J9" s="34" t="s">
        <v>19</v>
      </c>
      <c r="K9" s="35">
        <v>547150</v>
      </c>
      <c r="M9" s="34" t="s">
        <v>19</v>
      </c>
      <c r="N9" s="35">
        <v>197164.5</v>
      </c>
    </row>
    <row r="10" spans="1:14" x14ac:dyDescent="0.3">
      <c r="A10" s="34" t="s">
        <v>19</v>
      </c>
      <c r="B10" s="35">
        <v>97500</v>
      </c>
      <c r="C10" s="35">
        <v>110580</v>
      </c>
      <c r="D10" s="35">
        <v>82700</v>
      </c>
      <c r="E10" s="35">
        <v>80850</v>
      </c>
      <c r="F10" s="35">
        <v>70120</v>
      </c>
      <c r="G10" s="35">
        <v>105400</v>
      </c>
      <c r="H10" s="35">
        <v>547150</v>
      </c>
      <c r="J10" s="34" t="s">
        <v>20</v>
      </c>
      <c r="K10" s="35">
        <v>6604400</v>
      </c>
      <c r="M10" s="34" t="s">
        <v>20</v>
      </c>
      <c r="N10" s="35">
        <v>3099905.25</v>
      </c>
    </row>
    <row r="11" spans="1:14" x14ac:dyDescent="0.3">
      <c r="A11" s="34" t="s">
        <v>20</v>
      </c>
      <c r="B11" s="35">
        <v>1118440</v>
      </c>
      <c r="C11" s="35">
        <v>1132190</v>
      </c>
      <c r="D11" s="35">
        <v>1101140</v>
      </c>
      <c r="E11" s="35">
        <v>1114550</v>
      </c>
      <c r="F11" s="35">
        <v>1081740</v>
      </c>
      <c r="G11" s="35">
        <v>1056340</v>
      </c>
      <c r="H11" s="35">
        <v>6604400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5DA7-8AD5-4456-854A-476A4368C724}">
  <dimension ref="A1"/>
  <sheetViews>
    <sheetView showGridLines="0" zoomScale="50" zoomScaleNormal="65" workbookViewId="0">
      <selection activeCell="AL14" sqref="AL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408D-EC7D-41F5-B9BA-CB7048C9BD1F}">
  <dimension ref="A5:E10"/>
  <sheetViews>
    <sheetView showGridLines="0" tabSelected="1" zoomScale="83" workbookViewId="0">
      <selection activeCell="E20" sqref="E20"/>
    </sheetView>
  </sheetViews>
  <sheetFormatPr defaultRowHeight="14.4" x14ac:dyDescent="0.3"/>
  <cols>
    <col min="1" max="1" width="14.6640625" customWidth="1"/>
    <col min="2" max="2" width="50.77734375" customWidth="1"/>
    <col min="3" max="3" width="41.33203125" style="42" customWidth="1"/>
    <col min="4" max="4" width="35.109375" style="42" customWidth="1"/>
    <col min="5" max="5" width="36.77734375" style="42" customWidth="1"/>
  </cols>
  <sheetData>
    <row r="5" spans="1:5" x14ac:dyDescent="0.3">
      <c r="A5" s="37" t="s">
        <v>25</v>
      </c>
      <c r="B5" s="37" t="s">
        <v>26</v>
      </c>
      <c r="C5" s="38" t="s">
        <v>27</v>
      </c>
      <c r="D5" s="38" t="s">
        <v>28</v>
      </c>
      <c r="E5" s="38" t="s">
        <v>29</v>
      </c>
    </row>
    <row r="6" spans="1:5" x14ac:dyDescent="0.3">
      <c r="A6" s="39" t="s">
        <v>30</v>
      </c>
      <c r="B6" s="40" t="s">
        <v>31</v>
      </c>
      <c r="C6" s="41">
        <v>45932</v>
      </c>
      <c r="D6" s="41">
        <v>45936</v>
      </c>
      <c r="E6" s="42">
        <f>D6-C6+1</f>
        <v>5</v>
      </c>
    </row>
    <row r="7" spans="1:5" x14ac:dyDescent="0.3">
      <c r="A7" s="39" t="s">
        <v>32</v>
      </c>
      <c r="B7" s="40" t="s">
        <v>33</v>
      </c>
      <c r="C7" s="41">
        <v>45939</v>
      </c>
      <c r="D7" s="41">
        <v>45946</v>
      </c>
      <c r="E7" s="42">
        <f t="shared" ref="E7:E10" si="0">D7-C7+1</f>
        <v>8</v>
      </c>
    </row>
    <row r="8" spans="1:5" x14ac:dyDescent="0.3">
      <c r="A8" s="39" t="s">
        <v>34</v>
      </c>
      <c r="B8" s="40" t="s">
        <v>35</v>
      </c>
      <c r="C8" s="41">
        <v>45946</v>
      </c>
      <c r="D8" s="41">
        <v>45956</v>
      </c>
      <c r="E8" s="42">
        <f t="shared" si="0"/>
        <v>11</v>
      </c>
    </row>
    <row r="9" spans="1:5" x14ac:dyDescent="0.3">
      <c r="A9" s="39" t="s">
        <v>36</v>
      </c>
      <c r="B9" s="40" t="s">
        <v>37</v>
      </c>
      <c r="C9" s="41">
        <v>45953</v>
      </c>
      <c r="D9" s="41">
        <v>45966</v>
      </c>
      <c r="E9" s="42">
        <f t="shared" si="0"/>
        <v>14</v>
      </c>
    </row>
    <row r="10" spans="1:5" x14ac:dyDescent="0.3">
      <c r="A10" s="39" t="s">
        <v>38</v>
      </c>
      <c r="B10" s="40" t="s">
        <v>39</v>
      </c>
      <c r="C10" s="41">
        <v>45960</v>
      </c>
      <c r="D10" s="41">
        <v>45976</v>
      </c>
      <c r="E10" s="42">
        <f t="shared" si="0"/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 Table</vt:lpstr>
      <vt:lpstr>Charts</vt:lpstr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Taposi Howlader</dc:creator>
  <cp:lastModifiedBy>Taposi Howlader</cp:lastModifiedBy>
  <dcterms:created xsi:type="dcterms:W3CDTF">2025-06-16T06:24:26Z</dcterms:created>
  <dcterms:modified xsi:type="dcterms:W3CDTF">2025-06-23T11:15:59Z</dcterms:modified>
</cp:coreProperties>
</file>